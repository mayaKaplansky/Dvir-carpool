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ya2\Downloads\"/>
    </mc:Choice>
  </mc:AlternateContent>
  <xr:revisionPtr revIDLastSave="0" documentId="13_ncr:1_{2EE317F3-C20F-4B0D-85F7-92740FB6373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רשימת ילדים והורים" sheetId="1" r:id="rId1"/>
    <sheet name="לוח הסעות מוצע" sheetId="2" r:id="rId2"/>
    <sheet name="עזר" sheetId="3" state="hidden" r:id="rId3"/>
    <sheet name="ספירת הסעות למשפחה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9" i="3" l="1"/>
  <c r="B289" i="3"/>
  <c r="A289" i="3"/>
  <c r="E288" i="3"/>
  <c r="B288" i="3"/>
  <c r="A288" i="3"/>
  <c r="E287" i="3"/>
  <c r="B287" i="3"/>
  <c r="A287" i="3"/>
  <c r="E286" i="3"/>
  <c r="B286" i="3"/>
  <c r="A286" i="3"/>
  <c r="E285" i="3"/>
  <c r="B285" i="3"/>
  <c r="A285" i="3"/>
  <c r="E284" i="3"/>
  <c r="B284" i="3"/>
  <c r="A284" i="3"/>
  <c r="E283" i="3"/>
  <c r="B283" i="3"/>
  <c r="A283" i="3"/>
  <c r="E282" i="3"/>
  <c r="B282" i="3"/>
  <c r="A282" i="3"/>
  <c r="E281" i="3"/>
  <c r="B281" i="3"/>
  <c r="A281" i="3"/>
  <c r="E280" i="3"/>
  <c r="B280" i="3"/>
  <c r="A280" i="3"/>
  <c r="E279" i="3"/>
  <c r="B279" i="3"/>
  <c r="A279" i="3"/>
  <c r="E278" i="3"/>
  <c r="B278" i="3"/>
  <c r="A278" i="3"/>
  <c r="E277" i="3"/>
  <c r="B277" i="3"/>
  <c r="A277" i="3"/>
  <c r="E276" i="3"/>
  <c r="B276" i="3"/>
  <c r="A276" i="3"/>
  <c r="E275" i="3"/>
  <c r="B275" i="3"/>
  <c r="A275" i="3"/>
  <c r="E274" i="3"/>
  <c r="B274" i="3"/>
  <c r="A274" i="3"/>
  <c r="E273" i="3"/>
  <c r="B273" i="3"/>
  <c r="A273" i="3"/>
  <c r="E272" i="3"/>
  <c r="B272" i="3"/>
  <c r="A272" i="3"/>
  <c r="E271" i="3"/>
  <c r="B271" i="3"/>
  <c r="A271" i="3"/>
  <c r="E270" i="3"/>
  <c r="B270" i="3"/>
  <c r="A270" i="3"/>
  <c r="E269" i="3"/>
  <c r="B269" i="3"/>
  <c r="A269" i="3"/>
  <c r="E268" i="3"/>
  <c r="B268" i="3"/>
  <c r="A268" i="3"/>
  <c r="E267" i="3"/>
  <c r="B267" i="3"/>
  <c r="A267" i="3"/>
  <c r="E266" i="3"/>
  <c r="B266" i="3"/>
  <c r="A266" i="3"/>
  <c r="E265" i="3"/>
  <c r="B265" i="3"/>
  <c r="A265" i="3"/>
  <c r="E264" i="3"/>
  <c r="B264" i="3"/>
  <c r="A264" i="3"/>
  <c r="E263" i="3"/>
  <c r="B263" i="3"/>
  <c r="A263" i="3"/>
  <c r="E262" i="3"/>
  <c r="B262" i="3"/>
  <c r="A262" i="3"/>
  <c r="E261" i="3"/>
  <c r="B261" i="3"/>
  <c r="A261" i="3"/>
  <c r="E260" i="3"/>
  <c r="B260" i="3"/>
  <c r="A260" i="3"/>
  <c r="E259" i="3"/>
  <c r="B259" i="3"/>
  <c r="A259" i="3"/>
  <c r="E258" i="3"/>
  <c r="B258" i="3"/>
  <c r="A258" i="3"/>
  <c r="E257" i="3"/>
  <c r="B257" i="3"/>
  <c r="A257" i="3"/>
  <c r="E256" i="3"/>
  <c r="B256" i="3"/>
  <c r="A256" i="3"/>
  <c r="E255" i="3"/>
  <c r="B255" i="3"/>
  <c r="A255" i="3"/>
  <c r="E254" i="3"/>
  <c r="B254" i="3"/>
  <c r="A254" i="3"/>
  <c r="E253" i="3"/>
  <c r="B253" i="3"/>
  <c r="A253" i="3"/>
  <c r="E252" i="3"/>
  <c r="B252" i="3"/>
  <c r="A252" i="3"/>
  <c r="E251" i="3"/>
  <c r="B251" i="3"/>
  <c r="A251" i="3"/>
  <c r="E250" i="3"/>
  <c r="B250" i="3"/>
  <c r="A250" i="3"/>
  <c r="E249" i="3"/>
  <c r="B249" i="3"/>
  <c r="A249" i="3"/>
  <c r="E248" i="3"/>
  <c r="B248" i="3"/>
  <c r="A248" i="3"/>
  <c r="E247" i="3"/>
  <c r="B247" i="3"/>
  <c r="A247" i="3"/>
  <c r="E246" i="3"/>
  <c r="B246" i="3"/>
  <c r="A246" i="3"/>
  <c r="E245" i="3"/>
  <c r="B245" i="3"/>
  <c r="A245" i="3"/>
  <c r="E244" i="3"/>
  <c r="B244" i="3"/>
  <c r="A244" i="3"/>
  <c r="E243" i="3"/>
  <c r="B243" i="3"/>
  <c r="A243" i="3"/>
  <c r="E242" i="3"/>
  <c r="B242" i="3"/>
  <c r="A242" i="3"/>
  <c r="E241" i="3"/>
  <c r="B241" i="3"/>
  <c r="A241" i="3"/>
  <c r="E240" i="3"/>
  <c r="B240" i="3"/>
  <c r="A240" i="3"/>
  <c r="E239" i="3"/>
  <c r="B239" i="3"/>
  <c r="A239" i="3"/>
  <c r="E238" i="3"/>
  <c r="B238" i="3"/>
  <c r="A238" i="3"/>
  <c r="E237" i="3"/>
  <c r="B237" i="3"/>
  <c r="A237" i="3"/>
  <c r="E236" i="3"/>
  <c r="B236" i="3"/>
  <c r="A236" i="3"/>
  <c r="E235" i="3"/>
  <c r="B235" i="3"/>
  <c r="A235" i="3"/>
  <c r="E234" i="3"/>
  <c r="B234" i="3"/>
  <c r="A234" i="3"/>
  <c r="E233" i="3"/>
  <c r="B233" i="3"/>
  <c r="A233" i="3"/>
  <c r="E232" i="3"/>
  <c r="B232" i="3"/>
  <c r="A232" i="3"/>
  <c r="E231" i="3"/>
  <c r="B231" i="3"/>
  <c r="A231" i="3"/>
  <c r="E230" i="3"/>
  <c r="B230" i="3"/>
  <c r="A230" i="3"/>
  <c r="E229" i="3"/>
  <c r="B229" i="3"/>
  <c r="A229" i="3"/>
  <c r="E228" i="3"/>
  <c r="B228" i="3"/>
  <c r="A228" i="3"/>
  <c r="E227" i="3"/>
  <c r="B227" i="3"/>
  <c r="A227" i="3"/>
  <c r="E226" i="3"/>
  <c r="B226" i="3"/>
  <c r="A226" i="3"/>
  <c r="E225" i="3"/>
  <c r="B225" i="3"/>
  <c r="A225" i="3"/>
  <c r="E224" i="3"/>
  <c r="B224" i="3"/>
  <c r="A224" i="3"/>
  <c r="E223" i="3"/>
  <c r="B223" i="3"/>
  <c r="A223" i="3"/>
  <c r="E222" i="3"/>
  <c r="B222" i="3"/>
  <c r="A222" i="3"/>
  <c r="E221" i="3"/>
  <c r="B221" i="3"/>
  <c r="A221" i="3"/>
  <c r="E220" i="3"/>
  <c r="B220" i="3"/>
  <c r="A220" i="3"/>
  <c r="E219" i="3"/>
  <c r="B219" i="3"/>
  <c r="A219" i="3"/>
  <c r="E218" i="3"/>
  <c r="B218" i="3"/>
  <c r="A218" i="3"/>
  <c r="E217" i="3"/>
  <c r="B217" i="3"/>
  <c r="A217" i="3"/>
  <c r="E216" i="3"/>
  <c r="B216" i="3"/>
  <c r="A216" i="3"/>
  <c r="E215" i="3"/>
  <c r="B215" i="3"/>
  <c r="A215" i="3"/>
  <c r="E214" i="3"/>
  <c r="B214" i="3"/>
  <c r="A214" i="3"/>
  <c r="E213" i="3"/>
  <c r="B213" i="3"/>
  <c r="A213" i="3"/>
  <c r="E212" i="3"/>
  <c r="B212" i="3"/>
  <c r="A212" i="3"/>
  <c r="E211" i="3"/>
  <c r="B211" i="3"/>
  <c r="A211" i="3"/>
  <c r="E210" i="3"/>
  <c r="B210" i="3"/>
  <c r="A210" i="3"/>
  <c r="E209" i="3"/>
  <c r="B209" i="3"/>
  <c r="A209" i="3"/>
  <c r="E208" i="3"/>
  <c r="B208" i="3"/>
  <c r="A208" i="3"/>
  <c r="E207" i="3"/>
  <c r="B207" i="3"/>
  <c r="A207" i="3"/>
  <c r="E206" i="3"/>
  <c r="B206" i="3"/>
  <c r="A206" i="3"/>
  <c r="E205" i="3"/>
  <c r="B205" i="3"/>
  <c r="A205" i="3"/>
  <c r="E204" i="3"/>
  <c r="B204" i="3"/>
  <c r="A204" i="3"/>
  <c r="E203" i="3"/>
  <c r="B203" i="3"/>
  <c r="A203" i="3"/>
  <c r="E202" i="3"/>
  <c r="B202" i="3"/>
  <c r="A202" i="3"/>
  <c r="E201" i="3"/>
  <c r="B201" i="3"/>
  <c r="A201" i="3"/>
  <c r="E200" i="3"/>
  <c r="B200" i="3"/>
  <c r="A200" i="3"/>
  <c r="E199" i="3"/>
  <c r="B199" i="3"/>
  <c r="A199" i="3"/>
  <c r="E198" i="3"/>
  <c r="B198" i="3"/>
  <c r="A198" i="3"/>
  <c r="E197" i="3"/>
  <c r="B197" i="3"/>
  <c r="A197" i="3"/>
  <c r="E196" i="3"/>
  <c r="B196" i="3"/>
  <c r="A196" i="3"/>
  <c r="E195" i="3"/>
  <c r="B195" i="3"/>
  <c r="A195" i="3"/>
  <c r="E194" i="3"/>
  <c r="B194" i="3"/>
  <c r="A194" i="3"/>
  <c r="E193" i="3"/>
  <c r="B193" i="3"/>
  <c r="A193" i="3"/>
  <c r="E192" i="3"/>
  <c r="B192" i="3"/>
  <c r="A192" i="3"/>
  <c r="E191" i="3"/>
  <c r="B191" i="3"/>
  <c r="A191" i="3"/>
  <c r="E190" i="3"/>
  <c r="B190" i="3"/>
  <c r="A190" i="3"/>
  <c r="E189" i="3"/>
  <c r="B189" i="3"/>
  <c r="A189" i="3"/>
  <c r="E188" i="3"/>
  <c r="B188" i="3"/>
  <c r="A188" i="3"/>
  <c r="E187" i="3"/>
  <c r="B187" i="3"/>
  <c r="A187" i="3"/>
  <c r="E186" i="3"/>
  <c r="B186" i="3"/>
  <c r="A186" i="3"/>
  <c r="E185" i="3"/>
  <c r="B185" i="3"/>
  <c r="A185" i="3"/>
  <c r="E184" i="3"/>
  <c r="B184" i="3"/>
  <c r="A184" i="3"/>
  <c r="E183" i="3"/>
  <c r="B183" i="3"/>
  <c r="A183" i="3"/>
  <c r="E182" i="3"/>
  <c r="B182" i="3"/>
  <c r="A182" i="3"/>
  <c r="E181" i="3"/>
  <c r="B181" i="3"/>
  <c r="A181" i="3"/>
  <c r="E180" i="3"/>
  <c r="B180" i="3"/>
  <c r="A180" i="3"/>
  <c r="E179" i="3"/>
  <c r="B179" i="3"/>
  <c r="A179" i="3"/>
  <c r="E178" i="3"/>
  <c r="B178" i="3"/>
  <c r="A178" i="3"/>
  <c r="E177" i="3"/>
  <c r="B177" i="3"/>
  <c r="A177" i="3"/>
  <c r="E176" i="3"/>
  <c r="B176" i="3"/>
  <c r="A176" i="3"/>
  <c r="E175" i="3"/>
  <c r="B175" i="3"/>
  <c r="A175" i="3"/>
  <c r="E174" i="3"/>
  <c r="B174" i="3"/>
  <c r="A174" i="3"/>
  <c r="E173" i="3"/>
  <c r="B173" i="3"/>
  <c r="A173" i="3"/>
  <c r="E172" i="3"/>
  <c r="B172" i="3"/>
  <c r="A172" i="3"/>
  <c r="E171" i="3"/>
  <c r="B171" i="3"/>
  <c r="A171" i="3"/>
  <c r="E170" i="3"/>
  <c r="B170" i="3"/>
  <c r="A170" i="3"/>
  <c r="E169" i="3"/>
  <c r="B169" i="3"/>
  <c r="A169" i="3"/>
  <c r="E168" i="3"/>
  <c r="B168" i="3"/>
  <c r="A168" i="3"/>
  <c r="E167" i="3"/>
  <c r="B167" i="3"/>
  <c r="A167" i="3"/>
  <c r="E166" i="3"/>
  <c r="B166" i="3"/>
  <c r="A166" i="3"/>
  <c r="E165" i="3"/>
  <c r="B165" i="3"/>
  <c r="A165" i="3"/>
  <c r="E164" i="3"/>
  <c r="B164" i="3"/>
  <c r="A164" i="3"/>
  <c r="E163" i="3"/>
  <c r="B163" i="3"/>
  <c r="A163" i="3"/>
  <c r="E162" i="3"/>
  <c r="B162" i="3"/>
  <c r="A162" i="3"/>
  <c r="E161" i="3"/>
  <c r="B161" i="3"/>
  <c r="A161" i="3"/>
  <c r="E160" i="3"/>
  <c r="B160" i="3"/>
  <c r="A160" i="3"/>
  <c r="E159" i="3"/>
  <c r="B159" i="3"/>
  <c r="A159" i="3"/>
  <c r="E158" i="3"/>
  <c r="B158" i="3"/>
  <c r="A158" i="3"/>
  <c r="E157" i="3"/>
  <c r="B157" i="3"/>
  <c r="A157" i="3"/>
  <c r="E156" i="3"/>
  <c r="B156" i="3"/>
  <c r="A156" i="3"/>
  <c r="E155" i="3"/>
  <c r="B155" i="3"/>
  <c r="A155" i="3"/>
  <c r="E154" i="3"/>
  <c r="B154" i="3"/>
  <c r="A154" i="3"/>
  <c r="E153" i="3"/>
  <c r="B153" i="3"/>
  <c r="A153" i="3"/>
  <c r="E152" i="3"/>
  <c r="B152" i="3"/>
  <c r="A152" i="3"/>
  <c r="E151" i="3"/>
  <c r="B151" i="3"/>
  <c r="A151" i="3"/>
  <c r="E150" i="3"/>
  <c r="B150" i="3"/>
  <c r="A150" i="3"/>
  <c r="E149" i="3"/>
  <c r="B149" i="3"/>
  <c r="A149" i="3"/>
  <c r="E148" i="3"/>
  <c r="B148" i="3"/>
  <c r="A148" i="3"/>
  <c r="E147" i="3"/>
  <c r="B147" i="3"/>
  <c r="A147" i="3"/>
  <c r="E146" i="3"/>
  <c r="B146" i="3"/>
  <c r="A146" i="3"/>
  <c r="E145" i="3"/>
  <c r="B145" i="3"/>
  <c r="A145" i="3"/>
  <c r="E144" i="3"/>
  <c r="B144" i="3"/>
  <c r="A144" i="3"/>
  <c r="E143" i="3"/>
  <c r="B143" i="3"/>
  <c r="A143" i="3"/>
  <c r="E142" i="3"/>
  <c r="B142" i="3"/>
  <c r="A142" i="3"/>
  <c r="E141" i="3"/>
  <c r="B141" i="3"/>
  <c r="A141" i="3"/>
  <c r="E140" i="3"/>
  <c r="B140" i="3"/>
  <c r="A140" i="3"/>
  <c r="E139" i="3"/>
  <c r="B139" i="3"/>
  <c r="A139" i="3"/>
  <c r="E138" i="3"/>
  <c r="B138" i="3"/>
  <c r="A138" i="3"/>
  <c r="E137" i="3"/>
  <c r="B137" i="3"/>
  <c r="A137" i="3"/>
  <c r="E136" i="3"/>
  <c r="B136" i="3"/>
  <c r="A136" i="3"/>
  <c r="E135" i="3"/>
  <c r="B135" i="3"/>
  <c r="A135" i="3"/>
  <c r="E134" i="3"/>
  <c r="B134" i="3"/>
  <c r="A134" i="3"/>
  <c r="E133" i="3"/>
  <c r="B133" i="3"/>
  <c r="A133" i="3"/>
  <c r="E132" i="3"/>
  <c r="B132" i="3"/>
  <c r="A132" i="3"/>
  <c r="E131" i="3"/>
  <c r="B131" i="3"/>
  <c r="A131" i="3"/>
  <c r="E130" i="3"/>
  <c r="B130" i="3"/>
  <c r="A130" i="3"/>
  <c r="E129" i="3"/>
  <c r="B129" i="3"/>
  <c r="A129" i="3"/>
  <c r="E128" i="3"/>
  <c r="B128" i="3"/>
  <c r="A128" i="3"/>
  <c r="E127" i="3"/>
  <c r="B127" i="3"/>
  <c r="A127" i="3"/>
  <c r="E126" i="3"/>
  <c r="B126" i="3"/>
  <c r="A126" i="3"/>
  <c r="E125" i="3"/>
  <c r="B125" i="3"/>
  <c r="A125" i="3"/>
  <c r="E124" i="3"/>
  <c r="B124" i="3"/>
  <c r="A124" i="3"/>
  <c r="E123" i="3"/>
  <c r="B123" i="3"/>
  <c r="A123" i="3"/>
  <c r="E122" i="3"/>
  <c r="B122" i="3"/>
  <c r="A122" i="3"/>
  <c r="E121" i="3"/>
  <c r="B121" i="3"/>
  <c r="A121" i="3"/>
  <c r="E120" i="3"/>
  <c r="B120" i="3"/>
  <c r="A120" i="3"/>
  <c r="E119" i="3"/>
  <c r="B119" i="3"/>
  <c r="A119" i="3"/>
  <c r="E118" i="3"/>
  <c r="B118" i="3"/>
  <c r="A118" i="3"/>
  <c r="E117" i="3"/>
  <c r="B117" i="3"/>
  <c r="A117" i="3"/>
  <c r="E116" i="3"/>
  <c r="B116" i="3"/>
  <c r="A116" i="3"/>
  <c r="E115" i="3"/>
  <c r="B115" i="3"/>
  <c r="A115" i="3"/>
  <c r="E114" i="3"/>
  <c r="B114" i="3"/>
  <c r="A114" i="3"/>
  <c r="E113" i="3"/>
  <c r="B113" i="3"/>
  <c r="A113" i="3"/>
  <c r="E112" i="3"/>
  <c r="B112" i="3"/>
  <c r="A112" i="3"/>
  <c r="E111" i="3"/>
  <c r="B111" i="3"/>
  <c r="A111" i="3"/>
  <c r="E110" i="3"/>
  <c r="B110" i="3"/>
  <c r="A110" i="3"/>
  <c r="E109" i="3"/>
  <c r="B109" i="3"/>
  <c r="A109" i="3"/>
  <c r="E108" i="3"/>
  <c r="B108" i="3"/>
  <c r="A108" i="3"/>
  <c r="E107" i="3"/>
  <c r="B107" i="3"/>
  <c r="A107" i="3"/>
  <c r="E106" i="3"/>
  <c r="B106" i="3"/>
  <c r="A106" i="3"/>
  <c r="E105" i="3"/>
  <c r="B105" i="3"/>
  <c r="A105" i="3"/>
  <c r="E104" i="3"/>
  <c r="B104" i="3"/>
  <c r="A104" i="3"/>
  <c r="E103" i="3"/>
  <c r="B103" i="3"/>
  <c r="A103" i="3"/>
  <c r="E102" i="3"/>
  <c r="B102" i="3"/>
  <c r="A102" i="3"/>
  <c r="E101" i="3"/>
  <c r="B101" i="3"/>
  <c r="A101" i="3"/>
  <c r="E100" i="3"/>
  <c r="B100" i="3"/>
  <c r="A100" i="3"/>
  <c r="E99" i="3"/>
  <c r="B99" i="3"/>
  <c r="A99" i="3"/>
  <c r="E98" i="3"/>
  <c r="B98" i="3"/>
  <c r="A98" i="3"/>
  <c r="E97" i="3"/>
  <c r="B97" i="3"/>
  <c r="A97" i="3"/>
  <c r="E96" i="3"/>
  <c r="B96" i="3"/>
  <c r="A96" i="3"/>
  <c r="E95" i="3"/>
  <c r="B95" i="3"/>
  <c r="A95" i="3"/>
  <c r="E94" i="3"/>
  <c r="B94" i="3"/>
  <c r="A94" i="3"/>
  <c r="E93" i="3"/>
  <c r="B93" i="3"/>
  <c r="A93" i="3"/>
  <c r="E92" i="3"/>
  <c r="B92" i="3"/>
  <c r="A92" i="3"/>
  <c r="E91" i="3"/>
  <c r="B91" i="3"/>
  <c r="A91" i="3"/>
  <c r="E90" i="3"/>
  <c r="B90" i="3"/>
  <c r="A90" i="3"/>
  <c r="C90" i="3" s="1"/>
  <c r="D90" i="3" s="1"/>
  <c r="E89" i="3"/>
  <c r="B89" i="3"/>
  <c r="A89" i="3"/>
  <c r="E88" i="3"/>
  <c r="B88" i="3"/>
  <c r="A88" i="3"/>
  <c r="E87" i="3"/>
  <c r="B87" i="3"/>
  <c r="A87" i="3"/>
  <c r="E86" i="3"/>
  <c r="B86" i="3"/>
  <c r="A86" i="3"/>
  <c r="E85" i="3"/>
  <c r="B85" i="3"/>
  <c r="A85" i="3"/>
  <c r="E84" i="3"/>
  <c r="B84" i="3"/>
  <c r="A84" i="3"/>
  <c r="E83" i="3"/>
  <c r="B83" i="3"/>
  <c r="A83" i="3"/>
  <c r="E82" i="3"/>
  <c r="B82" i="3"/>
  <c r="A82" i="3"/>
  <c r="E81" i="3"/>
  <c r="B81" i="3"/>
  <c r="A81" i="3"/>
  <c r="E80" i="3"/>
  <c r="B80" i="3"/>
  <c r="A80" i="3"/>
  <c r="E79" i="3"/>
  <c r="B79" i="3"/>
  <c r="A79" i="3"/>
  <c r="E78" i="3"/>
  <c r="B78" i="3"/>
  <c r="A78" i="3"/>
  <c r="E77" i="3"/>
  <c r="B77" i="3"/>
  <c r="A77" i="3"/>
  <c r="E76" i="3"/>
  <c r="B76" i="3"/>
  <c r="A76" i="3"/>
  <c r="E75" i="3"/>
  <c r="B75" i="3"/>
  <c r="A75" i="3"/>
  <c r="E74" i="3"/>
  <c r="B74" i="3"/>
  <c r="A74" i="3"/>
  <c r="E73" i="3"/>
  <c r="B73" i="3"/>
  <c r="A73" i="3"/>
  <c r="E72" i="3"/>
  <c r="B72" i="3"/>
  <c r="A72" i="3"/>
  <c r="E71" i="3"/>
  <c r="B71" i="3"/>
  <c r="A71" i="3"/>
  <c r="E70" i="3"/>
  <c r="B70" i="3"/>
  <c r="A70" i="3"/>
  <c r="E69" i="3"/>
  <c r="B69" i="3"/>
  <c r="A69" i="3"/>
  <c r="E68" i="3"/>
  <c r="B68" i="3"/>
  <c r="A68" i="3"/>
  <c r="E67" i="3"/>
  <c r="B67" i="3"/>
  <c r="A67" i="3"/>
  <c r="E66" i="3"/>
  <c r="B66" i="3"/>
  <c r="A66" i="3"/>
  <c r="E65" i="3"/>
  <c r="B65" i="3"/>
  <c r="A65" i="3"/>
  <c r="E64" i="3"/>
  <c r="B64" i="3"/>
  <c r="A64" i="3"/>
  <c r="E63" i="3"/>
  <c r="B63" i="3"/>
  <c r="A63" i="3"/>
  <c r="E62" i="3"/>
  <c r="B62" i="3"/>
  <c r="A62" i="3"/>
  <c r="C62" i="3" s="1"/>
  <c r="D62" i="3" s="1"/>
  <c r="E61" i="3"/>
  <c r="B61" i="3"/>
  <c r="A61" i="3"/>
  <c r="E60" i="3"/>
  <c r="B60" i="3"/>
  <c r="A60" i="3"/>
  <c r="E59" i="3"/>
  <c r="B59" i="3"/>
  <c r="A59" i="3"/>
  <c r="E58" i="3"/>
  <c r="B58" i="3"/>
  <c r="A58" i="3"/>
  <c r="E57" i="3"/>
  <c r="B57" i="3"/>
  <c r="A57" i="3"/>
  <c r="E56" i="3"/>
  <c r="B56" i="3"/>
  <c r="A56" i="3"/>
  <c r="E55" i="3"/>
  <c r="B55" i="3"/>
  <c r="A55" i="3"/>
  <c r="E54" i="3"/>
  <c r="B54" i="3"/>
  <c r="A54" i="3"/>
  <c r="E53" i="3"/>
  <c r="B53" i="3"/>
  <c r="A53" i="3"/>
  <c r="E52" i="3"/>
  <c r="B52" i="3"/>
  <c r="A52" i="3"/>
  <c r="E51" i="3"/>
  <c r="B51" i="3"/>
  <c r="A51" i="3"/>
  <c r="E50" i="3"/>
  <c r="B50" i="3"/>
  <c r="A50" i="3"/>
  <c r="E49" i="3"/>
  <c r="B49" i="3"/>
  <c r="A49" i="3"/>
  <c r="E48" i="3"/>
  <c r="B48" i="3"/>
  <c r="A48" i="3"/>
  <c r="E47" i="3"/>
  <c r="B47" i="3"/>
  <c r="A47" i="3"/>
  <c r="E46" i="3"/>
  <c r="B46" i="3"/>
  <c r="A46" i="3"/>
  <c r="E45" i="3"/>
  <c r="B45" i="3"/>
  <c r="A45" i="3"/>
  <c r="E44" i="3"/>
  <c r="B44" i="3"/>
  <c r="A44" i="3"/>
  <c r="E43" i="3"/>
  <c r="B43" i="3"/>
  <c r="A43" i="3"/>
  <c r="E42" i="3"/>
  <c r="B42" i="3"/>
  <c r="A42" i="3"/>
  <c r="E41" i="3"/>
  <c r="B41" i="3"/>
  <c r="A41" i="3"/>
  <c r="E40" i="3"/>
  <c r="B40" i="3"/>
  <c r="A40" i="3"/>
  <c r="E39" i="3"/>
  <c r="B39" i="3"/>
  <c r="A39" i="3"/>
  <c r="E38" i="3"/>
  <c r="B38" i="3"/>
  <c r="A38" i="3"/>
  <c r="E37" i="3"/>
  <c r="B37" i="3"/>
  <c r="A37" i="3"/>
  <c r="E36" i="3"/>
  <c r="B36" i="3"/>
  <c r="A36" i="3"/>
  <c r="E35" i="3"/>
  <c r="B35" i="3"/>
  <c r="A35" i="3"/>
  <c r="E34" i="3"/>
  <c r="B34" i="3"/>
  <c r="A34" i="3"/>
  <c r="E33" i="3"/>
  <c r="B33" i="3"/>
  <c r="A33" i="3"/>
  <c r="E32" i="3"/>
  <c r="B32" i="3"/>
  <c r="A32" i="3"/>
  <c r="E31" i="3"/>
  <c r="B31" i="3"/>
  <c r="A31" i="3"/>
  <c r="E30" i="3"/>
  <c r="B30" i="3"/>
  <c r="A30" i="3"/>
  <c r="E29" i="3"/>
  <c r="B29" i="3"/>
  <c r="A29" i="3"/>
  <c r="E28" i="3"/>
  <c r="B28" i="3"/>
  <c r="A28" i="3"/>
  <c r="E27" i="3"/>
  <c r="B27" i="3"/>
  <c r="A27" i="3"/>
  <c r="E26" i="3"/>
  <c r="B26" i="3"/>
  <c r="A26" i="3"/>
  <c r="E25" i="3"/>
  <c r="B25" i="3"/>
  <c r="A25" i="3"/>
  <c r="E24" i="3"/>
  <c r="B24" i="3"/>
  <c r="A24" i="3"/>
  <c r="E23" i="3"/>
  <c r="B23" i="3"/>
  <c r="A23" i="3"/>
  <c r="E22" i="3"/>
  <c r="B22" i="3"/>
  <c r="A22" i="3"/>
  <c r="E21" i="3"/>
  <c r="B21" i="3"/>
  <c r="A21" i="3"/>
  <c r="E20" i="3"/>
  <c r="B20" i="3"/>
  <c r="A20" i="3"/>
  <c r="E19" i="3"/>
  <c r="B19" i="3"/>
  <c r="A19" i="3"/>
  <c r="E18" i="3"/>
  <c r="B18" i="3"/>
  <c r="A18" i="3"/>
  <c r="E17" i="3"/>
  <c r="B17" i="3"/>
  <c r="A17" i="3"/>
  <c r="E16" i="3"/>
  <c r="B16" i="3"/>
  <c r="A16" i="3"/>
  <c r="E15" i="3"/>
  <c r="B15" i="3"/>
  <c r="A15" i="3"/>
  <c r="E14" i="3"/>
  <c r="B14" i="3"/>
  <c r="A14" i="3"/>
  <c r="C14" i="3" s="1"/>
  <c r="D14" i="3" s="1"/>
  <c r="E13" i="3"/>
  <c r="B13" i="3"/>
  <c r="A13" i="3"/>
  <c r="E12" i="3"/>
  <c r="B12" i="3"/>
  <c r="A12" i="3"/>
  <c r="E11" i="3"/>
  <c r="B11" i="3"/>
  <c r="A11" i="3"/>
  <c r="E10" i="3"/>
  <c r="B10" i="3"/>
  <c r="A10" i="3"/>
  <c r="E9" i="3"/>
  <c r="B9" i="3"/>
  <c r="A9" i="3"/>
  <c r="E8" i="3"/>
  <c r="B8" i="3"/>
  <c r="A8" i="3"/>
  <c r="E7" i="3"/>
  <c r="B7" i="3"/>
  <c r="A7" i="3"/>
  <c r="E6" i="3"/>
  <c r="B6" i="3"/>
  <c r="A6" i="3"/>
  <c r="C6" i="3" s="1"/>
  <c r="D6" i="3" s="1"/>
  <c r="E5" i="3"/>
  <c r="B5" i="3"/>
  <c r="A5" i="3"/>
  <c r="E4" i="3"/>
  <c r="B4" i="3"/>
  <c r="A4" i="3"/>
  <c r="E3" i="3"/>
  <c r="B3" i="3"/>
  <c r="A3" i="3"/>
  <c r="C3" i="3" s="1"/>
  <c r="E2" i="3"/>
  <c r="B2" i="3"/>
  <c r="A2" i="3"/>
  <c r="C7" i="3" l="1"/>
  <c r="D7" i="3" s="1"/>
  <c r="C11" i="3"/>
  <c r="C13" i="3"/>
  <c r="C49" i="3"/>
  <c r="C102" i="3"/>
  <c r="D102" i="3" s="1"/>
  <c r="C114" i="3"/>
  <c r="D114" i="3" s="1"/>
  <c r="C126" i="3"/>
  <c r="D126" i="3" s="1"/>
  <c r="C138" i="3"/>
  <c r="D138" i="3" s="1"/>
  <c r="C47" i="3"/>
  <c r="D47" i="3" s="1"/>
  <c r="C8" i="3"/>
  <c r="D8" i="3" s="1"/>
  <c r="C32" i="3"/>
  <c r="D32" i="3" s="1"/>
  <c r="C61" i="3"/>
  <c r="D61" i="3" s="1"/>
  <c r="C18" i="3"/>
  <c r="D18" i="3" s="1"/>
  <c r="F44" i="4"/>
  <c r="D13" i="3"/>
  <c r="C20" i="3"/>
  <c r="D20" i="3" s="1"/>
  <c r="C132" i="3"/>
  <c r="D132" i="3" s="1"/>
  <c r="C26" i="3"/>
  <c r="D26" i="3" s="1"/>
  <c r="C38" i="3"/>
  <c r="D38" i="3" s="1"/>
  <c r="C150" i="3"/>
  <c r="D150" i="3" s="1"/>
  <c r="C162" i="3"/>
  <c r="D162" i="3" s="1"/>
  <c r="C59" i="3"/>
  <c r="C211" i="3"/>
  <c r="D211" i="3" s="1"/>
  <c r="C44" i="3"/>
  <c r="D44" i="3" s="1"/>
  <c r="C56" i="3"/>
  <c r="D56" i="3" s="1"/>
  <c r="C68" i="3"/>
  <c r="D68" i="3" s="1"/>
  <c r="C25" i="3"/>
  <c r="D25" i="3" s="1"/>
  <c r="D49" i="3"/>
  <c r="C37" i="3"/>
  <c r="D37" i="3" s="1"/>
  <c r="C77" i="3"/>
  <c r="D77" i="3" s="1"/>
  <c r="C50" i="3"/>
  <c r="D50" i="3" s="1"/>
  <c r="C31" i="3"/>
  <c r="D31" i="3" s="1"/>
  <c r="C55" i="3"/>
  <c r="D55" i="3" s="1"/>
  <c r="C67" i="3"/>
  <c r="D67" i="3" s="1"/>
  <c r="C101" i="3"/>
  <c r="D101" i="3" s="1"/>
  <c r="C117" i="3"/>
  <c r="D117" i="3" s="1"/>
  <c r="C125" i="3"/>
  <c r="D125" i="3" s="1"/>
  <c r="C141" i="3"/>
  <c r="D141" i="3" s="1"/>
  <c r="C149" i="3"/>
  <c r="D149" i="3" s="1"/>
  <c r="C165" i="3"/>
  <c r="D165" i="3" s="1"/>
  <c r="C173" i="3"/>
  <c r="D173" i="3" s="1"/>
  <c r="C189" i="3"/>
  <c r="C200" i="3"/>
  <c r="D200" i="3" s="1"/>
  <c r="C206" i="3"/>
  <c r="C219" i="3"/>
  <c r="D219" i="3" s="1"/>
  <c r="C227" i="3"/>
  <c r="D227" i="3" s="1"/>
  <c r="C238" i="3"/>
  <c r="D238" i="3" s="1"/>
  <c r="C241" i="3"/>
  <c r="D241" i="3" s="1"/>
  <c r="C244" i="3"/>
  <c r="D244" i="3" s="1"/>
  <c r="C252" i="3"/>
  <c r="D252" i="3" s="1"/>
  <c r="C270" i="3"/>
  <c r="D270" i="3" s="1"/>
  <c r="C273" i="3"/>
  <c r="D273" i="3" s="1"/>
  <c r="F6" i="4"/>
  <c r="F10" i="4"/>
  <c r="F14" i="4"/>
  <c r="F18" i="4"/>
  <c r="F26" i="4"/>
  <c r="F48" i="4"/>
  <c r="C73" i="4"/>
  <c r="C43" i="3"/>
  <c r="D43" i="3" s="1"/>
  <c r="C72" i="3"/>
  <c r="D72" i="3" s="1"/>
  <c r="C93" i="3"/>
  <c r="D93" i="3" s="1"/>
  <c r="C12" i="3"/>
  <c r="D12" i="3" s="1"/>
  <c r="C24" i="3"/>
  <c r="D24" i="3" s="1"/>
  <c r="C36" i="3"/>
  <c r="D36" i="3" s="1"/>
  <c r="C48" i="3"/>
  <c r="D48" i="3" s="1"/>
  <c r="C60" i="3"/>
  <c r="D60" i="3" s="1"/>
  <c r="C75" i="3"/>
  <c r="D75" i="3" s="1"/>
  <c r="C85" i="3"/>
  <c r="D85" i="3" s="1"/>
  <c r="C109" i="3"/>
  <c r="D109" i="3" s="1"/>
  <c r="C133" i="3"/>
  <c r="D133" i="3" s="1"/>
  <c r="C157" i="3"/>
  <c r="D157" i="3" s="1"/>
  <c r="C181" i="3"/>
  <c r="D181" i="3" s="1"/>
  <c r="C184" i="3"/>
  <c r="D184" i="3" s="1"/>
  <c r="C214" i="3"/>
  <c r="C255" i="3"/>
  <c r="C279" i="3"/>
  <c r="D279" i="3" s="1"/>
  <c r="C282" i="3"/>
  <c r="D282" i="3" s="1"/>
  <c r="E3" i="4"/>
  <c r="C7" i="4"/>
  <c r="C11" i="4"/>
  <c r="C15" i="4"/>
  <c r="C19" i="4"/>
  <c r="D27" i="4"/>
  <c r="F50" i="4"/>
  <c r="F75" i="4"/>
  <c r="C19" i="3"/>
  <c r="D19" i="3" s="1"/>
  <c r="C5" i="3"/>
  <c r="D5" i="3" s="1"/>
  <c r="C17" i="3"/>
  <c r="D17" i="3" s="1"/>
  <c r="C29" i="3"/>
  <c r="D29" i="3" s="1"/>
  <c r="C41" i="3"/>
  <c r="D41" i="3" s="1"/>
  <c r="C53" i="3"/>
  <c r="D53" i="3" s="1"/>
  <c r="C65" i="3"/>
  <c r="D65" i="3" s="1"/>
  <c r="C70" i="3"/>
  <c r="D70" i="3" s="1"/>
  <c r="C80" i="3"/>
  <c r="D80" i="3" s="1"/>
  <c r="C88" i="3"/>
  <c r="D88" i="3" s="1"/>
  <c r="C96" i="3"/>
  <c r="D96" i="3" s="1"/>
  <c r="C99" i="3"/>
  <c r="D99" i="3" s="1"/>
  <c r="C112" i="3"/>
  <c r="D112" i="3" s="1"/>
  <c r="C120" i="3"/>
  <c r="D120" i="3" s="1"/>
  <c r="C123" i="3"/>
  <c r="D123" i="3" s="1"/>
  <c r="C136" i="3"/>
  <c r="D136" i="3" s="1"/>
  <c r="C144" i="3"/>
  <c r="D144" i="3" s="1"/>
  <c r="C147" i="3"/>
  <c r="D147" i="3" s="1"/>
  <c r="C160" i="3"/>
  <c r="D160" i="3" s="1"/>
  <c r="C168" i="3"/>
  <c r="D168" i="3" s="1"/>
  <c r="C171" i="3"/>
  <c r="C187" i="3"/>
  <c r="C195" i="3"/>
  <c r="D195" i="3" s="1"/>
  <c r="C198" i="3"/>
  <c r="D198" i="3" s="1"/>
  <c r="D206" i="3"/>
  <c r="C209" i="3"/>
  <c r="D209" i="3" s="1"/>
  <c r="C222" i="3"/>
  <c r="D222" i="3" s="1"/>
  <c r="C247" i="3"/>
  <c r="D247" i="3" s="1"/>
  <c r="C261" i="3"/>
  <c r="D261" i="3" s="1"/>
  <c r="C276" i="3"/>
  <c r="D276" i="3" s="1"/>
  <c r="C288" i="3"/>
  <c r="D288" i="3" s="1"/>
  <c r="F3" i="4"/>
  <c r="E7" i="4"/>
  <c r="E11" i="4"/>
  <c r="D15" i="4"/>
  <c r="E19" i="4"/>
  <c r="F28" i="4"/>
  <c r="F52" i="4"/>
  <c r="C10" i="3"/>
  <c r="D10" i="3" s="1"/>
  <c r="C22" i="3"/>
  <c r="D22" i="3" s="1"/>
  <c r="C34" i="3"/>
  <c r="D34" i="3" s="1"/>
  <c r="C46" i="3"/>
  <c r="D46" i="3" s="1"/>
  <c r="C58" i="3"/>
  <c r="D58" i="3" s="1"/>
  <c r="C83" i="3"/>
  <c r="D83" i="3" s="1"/>
  <c r="C104" i="3"/>
  <c r="D104" i="3" s="1"/>
  <c r="C107" i="3"/>
  <c r="D107" i="3" s="1"/>
  <c r="C128" i="3"/>
  <c r="D128" i="3" s="1"/>
  <c r="C131" i="3"/>
  <c r="D131" i="3" s="1"/>
  <c r="C152" i="3"/>
  <c r="D152" i="3" s="1"/>
  <c r="C155" i="3"/>
  <c r="D155" i="3" s="1"/>
  <c r="C176" i="3"/>
  <c r="D176" i="3" s="1"/>
  <c r="C179" i="3"/>
  <c r="D179" i="3" s="1"/>
  <c r="C217" i="3"/>
  <c r="D217" i="3" s="1"/>
  <c r="C225" i="3"/>
  <c r="D225" i="3" s="1"/>
  <c r="C233" i="3"/>
  <c r="D233" i="3" s="1"/>
  <c r="C236" i="3"/>
  <c r="D236" i="3" s="1"/>
  <c r="C239" i="3"/>
  <c r="D239" i="3" s="1"/>
  <c r="C250" i="3"/>
  <c r="D250" i="3" s="1"/>
  <c r="C258" i="3"/>
  <c r="D258" i="3" s="1"/>
  <c r="C268" i="3"/>
  <c r="C274" i="3"/>
  <c r="C285" i="3"/>
  <c r="F7" i="4"/>
  <c r="F11" i="4"/>
  <c r="F15" i="4"/>
  <c r="E20" i="4"/>
  <c r="F30" i="4"/>
  <c r="F54" i="4"/>
  <c r="B80" i="4"/>
  <c r="C15" i="3"/>
  <c r="D15" i="3" s="1"/>
  <c r="C39" i="3"/>
  <c r="D39" i="3" s="1"/>
  <c r="C63" i="3"/>
  <c r="D63" i="3" s="1"/>
  <c r="C78" i="3"/>
  <c r="D78" i="3" s="1"/>
  <c r="C91" i="3"/>
  <c r="D91" i="3" s="1"/>
  <c r="C115" i="3"/>
  <c r="D115" i="3" s="1"/>
  <c r="C134" i="3"/>
  <c r="D134" i="3" s="1"/>
  <c r="C139" i="3"/>
  <c r="D139" i="3" s="1"/>
  <c r="C158" i="3"/>
  <c r="D158" i="3" s="1"/>
  <c r="C163" i="3"/>
  <c r="D163" i="3" s="1"/>
  <c r="D171" i="3"/>
  <c r="C182" i="3"/>
  <c r="D182" i="3" s="1"/>
  <c r="D187" i="3"/>
  <c r="C190" i="3"/>
  <c r="D190" i="3" s="1"/>
  <c r="C193" i="3"/>
  <c r="C207" i="3"/>
  <c r="D207" i="3" s="1"/>
  <c r="C212" i="3"/>
  <c r="D212" i="3" s="1"/>
  <c r="C220" i="3"/>
  <c r="D220" i="3" s="1"/>
  <c r="E4" i="4"/>
  <c r="C8" i="4"/>
  <c r="C12" i="4"/>
  <c r="C16" i="4"/>
  <c r="F20" i="4"/>
  <c r="F32" i="4"/>
  <c r="F56" i="4"/>
  <c r="C82" i="4"/>
  <c r="C27" i="3"/>
  <c r="D27" i="3" s="1"/>
  <c r="C51" i="3"/>
  <c r="D51" i="3" s="1"/>
  <c r="C86" i="3"/>
  <c r="D86" i="3" s="1"/>
  <c r="C110" i="3"/>
  <c r="D110" i="3" s="1"/>
  <c r="D3" i="3"/>
  <c r="C73" i="3"/>
  <c r="D73" i="3" s="1"/>
  <c r="C81" i="3"/>
  <c r="D81" i="3" s="1"/>
  <c r="C94" i="3"/>
  <c r="D94" i="3" s="1"/>
  <c r="C118" i="3"/>
  <c r="D118" i="3" s="1"/>
  <c r="C142" i="3"/>
  <c r="D142" i="3" s="1"/>
  <c r="C166" i="3"/>
  <c r="D166" i="3" s="1"/>
  <c r="C174" i="3"/>
  <c r="D174" i="3" s="1"/>
  <c r="C201" i="3"/>
  <c r="D201" i="3" s="1"/>
  <c r="C204" i="3"/>
  <c r="D204" i="3" s="1"/>
  <c r="C215" i="3"/>
  <c r="D215" i="3" s="1"/>
  <c r="C228" i="3"/>
  <c r="D228" i="3" s="1"/>
  <c r="C231" i="3"/>
  <c r="D231" i="3" s="1"/>
  <c r="C245" i="3"/>
  <c r="D245" i="3" s="1"/>
  <c r="C253" i="3"/>
  <c r="D253" i="3" s="1"/>
  <c r="C256" i="3"/>
  <c r="D256" i="3" s="1"/>
  <c r="C265" i="3"/>
  <c r="D265" i="3" s="1"/>
  <c r="D268" i="3"/>
  <c r="C271" i="3"/>
  <c r="D271" i="3" s="1"/>
  <c r="D274" i="3"/>
  <c r="C277" i="3"/>
  <c r="D277" i="3" s="1"/>
  <c r="C286" i="3"/>
  <c r="D286" i="3" s="1"/>
  <c r="F4" i="4"/>
  <c r="E8" i="4"/>
  <c r="D12" i="4"/>
  <c r="E16" i="4"/>
  <c r="C21" i="4"/>
  <c r="F34" i="4"/>
  <c r="F58" i="4"/>
  <c r="F84" i="4"/>
  <c r="C89" i="3"/>
  <c r="D89" i="3" s="1"/>
  <c r="C105" i="3"/>
  <c r="D105" i="3" s="1"/>
  <c r="C113" i="3"/>
  <c r="D113" i="3" s="1"/>
  <c r="C129" i="3"/>
  <c r="D129" i="3" s="1"/>
  <c r="C137" i="3"/>
  <c r="D137" i="3" s="1"/>
  <c r="C153" i="3"/>
  <c r="D153" i="3" s="1"/>
  <c r="C161" i="3"/>
  <c r="D161" i="3" s="1"/>
  <c r="C177" i="3"/>
  <c r="D177" i="3" s="1"/>
  <c r="C185" i="3"/>
  <c r="D185" i="3" s="1"/>
  <c r="C188" i="3"/>
  <c r="D188" i="3" s="1"/>
  <c r="D193" i="3"/>
  <c r="C210" i="3"/>
  <c r="D210" i="3" s="1"/>
  <c r="C218" i="3"/>
  <c r="D218" i="3" s="1"/>
  <c r="C234" i="3"/>
  <c r="D234" i="3" s="1"/>
  <c r="C259" i="3"/>
  <c r="D259" i="3" s="1"/>
  <c r="C280" i="3"/>
  <c r="D280" i="3" s="1"/>
  <c r="C283" i="3"/>
  <c r="D283" i="3" s="1"/>
  <c r="F8" i="4"/>
  <c r="F12" i="4"/>
  <c r="F16" i="4"/>
  <c r="D21" i="4"/>
  <c r="F36" i="4"/>
  <c r="F60" i="4"/>
  <c r="C54" i="3"/>
  <c r="D54" i="3" s="1"/>
  <c r="C71" i="3"/>
  <c r="D71" i="3" s="1"/>
  <c r="C76" i="3"/>
  <c r="D76" i="3" s="1"/>
  <c r="C97" i="3"/>
  <c r="D97" i="3" s="1"/>
  <c r="C121" i="3"/>
  <c r="D121" i="3" s="1"/>
  <c r="C145" i="3"/>
  <c r="D145" i="3" s="1"/>
  <c r="C169" i="3"/>
  <c r="D169" i="3" s="1"/>
  <c r="C196" i="3"/>
  <c r="D196" i="3" s="1"/>
  <c r="C202" i="3"/>
  <c r="D202" i="3" s="1"/>
  <c r="C223" i="3"/>
  <c r="D223" i="3" s="1"/>
  <c r="C226" i="3"/>
  <c r="D226" i="3" s="1"/>
  <c r="C248" i="3"/>
  <c r="D248" i="3" s="1"/>
  <c r="C251" i="3"/>
  <c r="D251" i="3" s="1"/>
  <c r="C266" i="3"/>
  <c r="D266" i="3" s="1"/>
  <c r="C269" i="3"/>
  <c r="D269" i="3" s="1"/>
  <c r="C289" i="3"/>
  <c r="D289" i="3" s="1"/>
  <c r="C5" i="4"/>
  <c r="C9" i="4"/>
  <c r="C13" i="4"/>
  <c r="C17" i="4"/>
  <c r="E22" i="4"/>
  <c r="F38" i="4"/>
  <c r="F62" i="4"/>
  <c r="B89" i="4"/>
  <c r="C159" i="3"/>
  <c r="C172" i="3"/>
  <c r="D172" i="3" s="1"/>
  <c r="C180" i="3"/>
  <c r="D180" i="3" s="1"/>
  <c r="C194" i="3"/>
  <c r="D194" i="3" s="1"/>
  <c r="C199" i="3"/>
  <c r="D199" i="3" s="1"/>
  <c r="C208" i="3"/>
  <c r="D208" i="3" s="1"/>
  <c r="C229" i="3"/>
  <c r="D229" i="3" s="1"/>
  <c r="C237" i="3"/>
  <c r="C240" i="3"/>
  <c r="D240" i="3" s="1"/>
  <c r="C254" i="3"/>
  <c r="D254" i="3" s="1"/>
  <c r="C263" i="3"/>
  <c r="D263" i="3" s="1"/>
  <c r="C278" i="3"/>
  <c r="D278" i="3" s="1"/>
  <c r="E5" i="4"/>
  <c r="D9" i="4"/>
  <c r="E13" i="4"/>
  <c r="E17" i="4"/>
  <c r="F22" i="4"/>
  <c r="F40" i="4"/>
  <c r="F64" i="4"/>
  <c r="C91" i="4"/>
  <c r="C42" i="3"/>
  <c r="D42" i="3" s="1"/>
  <c r="C23" i="3"/>
  <c r="D23" i="3" s="1"/>
  <c r="C35" i="3"/>
  <c r="D35" i="3" s="1"/>
  <c r="C69" i="3"/>
  <c r="C84" i="3"/>
  <c r="D84" i="3" s="1"/>
  <c r="C108" i="3"/>
  <c r="D108" i="3" s="1"/>
  <c r="C156" i="3"/>
  <c r="D156" i="3" s="1"/>
  <c r="C4" i="3"/>
  <c r="D4" i="3" s="1"/>
  <c r="D11" i="3"/>
  <c r="C16" i="3"/>
  <c r="D16" i="3" s="1"/>
  <c r="C28" i="3"/>
  <c r="D28" i="3" s="1"/>
  <c r="C40" i="3"/>
  <c r="D40" i="3" s="1"/>
  <c r="C52" i="3"/>
  <c r="D52" i="3" s="1"/>
  <c r="D59" i="3"/>
  <c r="C64" i="3"/>
  <c r="D64" i="3" s="1"/>
  <c r="C79" i="3"/>
  <c r="D79" i="3" s="1"/>
  <c r="C92" i="3"/>
  <c r="D92" i="3" s="1"/>
  <c r="C95" i="3"/>
  <c r="D95" i="3" s="1"/>
  <c r="C116" i="3"/>
  <c r="D116" i="3" s="1"/>
  <c r="C119" i="3"/>
  <c r="D119" i="3" s="1"/>
  <c r="C140" i="3"/>
  <c r="D140" i="3" s="1"/>
  <c r="C143" i="3"/>
  <c r="D143" i="3" s="1"/>
  <c r="C164" i="3"/>
  <c r="D164" i="3" s="1"/>
  <c r="C167" i="3"/>
  <c r="D167" i="3" s="1"/>
  <c r="C183" i="3"/>
  <c r="D183" i="3" s="1"/>
  <c r="C191" i="3"/>
  <c r="D191" i="3" s="1"/>
  <c r="C205" i="3"/>
  <c r="D205" i="3" s="1"/>
  <c r="C213" i="3"/>
  <c r="D213" i="3" s="1"/>
  <c r="C221" i="3"/>
  <c r="D221" i="3" s="1"/>
  <c r="C243" i="3"/>
  <c r="D243" i="3" s="1"/>
  <c r="C246" i="3"/>
  <c r="D246" i="3" s="1"/>
  <c r="C260" i="3"/>
  <c r="D260" i="3" s="1"/>
  <c r="C275" i="3"/>
  <c r="D275" i="3" s="1"/>
  <c r="F5" i="4"/>
  <c r="F9" i="4"/>
  <c r="F13" i="4"/>
  <c r="F17" i="4"/>
  <c r="E23" i="4"/>
  <c r="F42" i="4"/>
  <c r="F66" i="4"/>
  <c r="F93" i="4"/>
  <c r="C66" i="3"/>
  <c r="D66" i="3" s="1"/>
  <c r="C87" i="3"/>
  <c r="D87" i="3" s="1"/>
  <c r="C100" i="3"/>
  <c r="D100" i="3" s="1"/>
  <c r="C124" i="3"/>
  <c r="D124" i="3" s="1"/>
  <c r="C9" i="3"/>
  <c r="D9" i="3" s="1"/>
  <c r="C33" i="3"/>
  <c r="D33" i="3" s="1"/>
  <c r="C122" i="3"/>
  <c r="D122" i="3" s="1"/>
  <c r="C175" i="3"/>
  <c r="D175" i="3" s="1"/>
  <c r="D189" i="3"/>
  <c r="C197" i="3"/>
  <c r="D197" i="3" s="1"/>
  <c r="C216" i="3"/>
  <c r="D216" i="3" s="1"/>
  <c r="C224" i="3"/>
  <c r="D224" i="3" s="1"/>
  <c r="C232" i="3"/>
  <c r="D232" i="3" s="1"/>
  <c r="C249" i="3"/>
  <c r="D249" i="3" s="1"/>
  <c r="C257" i="3"/>
  <c r="D257" i="3" s="1"/>
  <c r="C284" i="3"/>
  <c r="D284" i="3" s="1"/>
  <c r="C287" i="3"/>
  <c r="D287" i="3" s="1"/>
  <c r="F2" i="4"/>
  <c r="C6" i="4"/>
  <c r="C10" i="4"/>
  <c r="C14" i="4"/>
  <c r="C18" i="4"/>
  <c r="F24" i="4"/>
  <c r="C30" i="3"/>
  <c r="D30" i="3" s="1"/>
  <c r="C111" i="3"/>
  <c r="C135" i="3"/>
  <c r="C148" i="3"/>
  <c r="D148" i="3" s="1"/>
  <c r="E100" i="4"/>
  <c r="E97" i="4"/>
  <c r="E94" i="4"/>
  <c r="E91" i="4"/>
  <c r="E88" i="4"/>
  <c r="E85" i="4"/>
  <c r="E82" i="4"/>
  <c r="E79" i="4"/>
  <c r="E76" i="4"/>
  <c r="E73" i="4"/>
  <c r="E70" i="4"/>
  <c r="E67" i="4"/>
  <c r="D100" i="4"/>
  <c r="D97" i="4"/>
  <c r="D94" i="4"/>
  <c r="D91" i="4"/>
  <c r="D88" i="4"/>
  <c r="D85" i="4"/>
  <c r="D82" i="4"/>
  <c r="D79" i="4"/>
  <c r="D76" i="4"/>
  <c r="D73" i="4"/>
  <c r="D70" i="4"/>
  <c r="D67" i="4"/>
  <c r="D64" i="4"/>
  <c r="D61" i="4"/>
  <c r="D58" i="4"/>
  <c r="D55" i="4"/>
  <c r="D52" i="4"/>
  <c r="D49" i="4"/>
  <c r="D46" i="4"/>
  <c r="D43" i="4"/>
  <c r="D40" i="4"/>
  <c r="D37" i="4"/>
  <c r="D34" i="4"/>
  <c r="D31" i="4"/>
  <c r="D28" i="4"/>
  <c r="D25" i="4"/>
  <c r="D22" i="4"/>
  <c r="D19" i="4"/>
  <c r="D16" i="4"/>
  <c r="D13" i="4"/>
  <c r="D10" i="4"/>
  <c r="D7" i="4"/>
  <c r="D4" i="4"/>
  <c r="C100" i="4"/>
  <c r="F101" i="4"/>
  <c r="E101" i="4"/>
  <c r="D101" i="4"/>
  <c r="D98" i="4"/>
  <c r="D95" i="4"/>
  <c r="D92" i="4"/>
  <c r="D89" i="4"/>
  <c r="D86" i="4"/>
  <c r="D83" i="4"/>
  <c r="D80" i="4"/>
  <c r="D77" i="4"/>
  <c r="D74" i="4"/>
  <c r="D71" i="4"/>
  <c r="D68" i="4"/>
  <c r="D65" i="4"/>
  <c r="D62" i="4"/>
  <c r="D59" i="4"/>
  <c r="D56" i="4"/>
  <c r="D53" i="4"/>
  <c r="D50" i="4"/>
  <c r="D47" i="4"/>
  <c r="D44" i="4"/>
  <c r="D41" i="4"/>
  <c r="D38" i="4"/>
  <c r="D35" i="4"/>
  <c r="D32" i="4"/>
  <c r="D29" i="4"/>
  <c r="D26" i="4"/>
  <c r="D23" i="4"/>
  <c r="D20" i="4"/>
  <c r="D17" i="4"/>
  <c r="D14" i="4"/>
  <c r="D11" i="4"/>
  <c r="D8" i="4"/>
  <c r="D5" i="4"/>
  <c r="D2" i="4"/>
  <c r="C101" i="4"/>
  <c r="B101" i="4"/>
  <c r="E99" i="4"/>
  <c r="E96" i="4"/>
  <c r="E93" i="4"/>
  <c r="E90" i="4"/>
  <c r="E87" i="4"/>
  <c r="E84" i="4"/>
  <c r="E81" i="4"/>
  <c r="E78" i="4"/>
  <c r="E75" i="4"/>
  <c r="E72" i="4"/>
  <c r="E69" i="4"/>
  <c r="E66" i="4"/>
  <c r="E63" i="4"/>
  <c r="E60" i="4"/>
  <c r="E57" i="4"/>
  <c r="E54" i="4"/>
  <c r="E51" i="4"/>
  <c r="E48" i="4"/>
  <c r="E45" i="4"/>
  <c r="E42" i="4"/>
  <c r="E39" i="4"/>
  <c r="E36" i="4"/>
  <c r="E33" i="4"/>
  <c r="E30" i="4"/>
  <c r="E27" i="4"/>
  <c r="E24" i="4"/>
  <c r="E21" i="4"/>
  <c r="E18" i="4"/>
  <c r="E15" i="4"/>
  <c r="E12" i="4"/>
  <c r="E9" i="4"/>
  <c r="E6" i="4"/>
  <c r="C99" i="4"/>
  <c r="F100" i="4"/>
  <c r="B100" i="4"/>
  <c r="E95" i="4"/>
  <c r="C93" i="4"/>
  <c r="E86" i="4"/>
  <c r="C84" i="4"/>
  <c r="E77" i="4"/>
  <c r="C75" i="4"/>
  <c r="E68" i="4"/>
  <c r="C66" i="4"/>
  <c r="C64" i="4"/>
  <c r="C62" i="4"/>
  <c r="C60" i="4"/>
  <c r="C58" i="4"/>
  <c r="C56" i="4"/>
  <c r="C54" i="4"/>
  <c r="C52" i="4"/>
  <c r="C50" i="4"/>
  <c r="C48" i="4"/>
  <c r="C46" i="4"/>
  <c r="C44" i="4"/>
  <c r="C42" i="4"/>
  <c r="C40" i="4"/>
  <c r="C38" i="4"/>
  <c r="C36" i="4"/>
  <c r="C34" i="4"/>
  <c r="C32" i="4"/>
  <c r="C30" i="4"/>
  <c r="C28" i="4"/>
  <c r="C26" i="4"/>
  <c r="C24" i="4"/>
  <c r="C22" i="4"/>
  <c r="C20" i="4"/>
  <c r="F97" i="4"/>
  <c r="C95" i="4"/>
  <c r="B93" i="4"/>
  <c r="F88" i="4"/>
  <c r="C86" i="4"/>
  <c r="B84" i="4"/>
  <c r="F79" i="4"/>
  <c r="C77" i="4"/>
  <c r="B75" i="4"/>
  <c r="F70" i="4"/>
  <c r="C68" i="4"/>
  <c r="B66" i="4"/>
  <c r="B64" i="4"/>
  <c r="B62" i="4"/>
  <c r="B60" i="4"/>
  <c r="B58" i="4"/>
  <c r="B56" i="4"/>
  <c r="B54" i="4"/>
  <c r="B52" i="4"/>
  <c r="B50" i="4"/>
  <c r="B48" i="4"/>
  <c r="B46" i="4"/>
  <c r="B44" i="4"/>
  <c r="B42" i="4"/>
  <c r="B40" i="4"/>
  <c r="B38" i="4"/>
  <c r="B36" i="4"/>
  <c r="B34" i="4"/>
  <c r="B32" i="4"/>
  <c r="B30" i="4"/>
  <c r="B28" i="4"/>
  <c r="B26" i="4"/>
  <c r="B24" i="4"/>
  <c r="B22" i="4"/>
  <c r="B20" i="4"/>
  <c r="B18" i="4"/>
  <c r="B16" i="4"/>
  <c r="B14" i="4"/>
  <c r="B12" i="4"/>
  <c r="B10" i="4"/>
  <c r="B8" i="4"/>
  <c r="B6" i="4"/>
  <c r="C4" i="4"/>
  <c r="E2" i="4"/>
  <c r="C272" i="3"/>
  <c r="D272" i="3" s="1"/>
  <c r="C267" i="3"/>
  <c r="D267" i="3" s="1"/>
  <c r="C97" i="4"/>
  <c r="B95" i="4"/>
  <c r="F90" i="4"/>
  <c r="C88" i="4"/>
  <c r="B86" i="4"/>
  <c r="F81" i="4"/>
  <c r="C79" i="4"/>
  <c r="B77" i="4"/>
  <c r="F72" i="4"/>
  <c r="C70" i="4"/>
  <c r="B68" i="4"/>
  <c r="B4" i="4"/>
  <c r="C2" i="4"/>
  <c r="C192" i="3"/>
  <c r="D192" i="3" s="1"/>
  <c r="F99" i="4"/>
  <c r="B97" i="4"/>
  <c r="F92" i="4"/>
  <c r="D90" i="4"/>
  <c r="B88" i="4"/>
  <c r="F83" i="4"/>
  <c r="D81" i="4"/>
  <c r="B79" i="4"/>
  <c r="F74" i="4"/>
  <c r="D72" i="4"/>
  <c r="B70" i="4"/>
  <c r="B2" i="4"/>
  <c r="C264" i="3"/>
  <c r="D264" i="3" s="1"/>
  <c r="D99" i="4"/>
  <c r="E92" i="4"/>
  <c r="C90" i="4"/>
  <c r="E83" i="4"/>
  <c r="C81" i="4"/>
  <c r="E74" i="4"/>
  <c r="C72" i="4"/>
  <c r="F65" i="4"/>
  <c r="F63" i="4"/>
  <c r="F61" i="4"/>
  <c r="F59" i="4"/>
  <c r="F57" i="4"/>
  <c r="F55" i="4"/>
  <c r="F53" i="4"/>
  <c r="F51" i="4"/>
  <c r="F49" i="4"/>
  <c r="F47" i="4"/>
  <c r="F45" i="4"/>
  <c r="F43" i="4"/>
  <c r="F41" i="4"/>
  <c r="F39" i="4"/>
  <c r="F37" i="4"/>
  <c r="F35" i="4"/>
  <c r="F33" i="4"/>
  <c r="F31" i="4"/>
  <c r="F29" i="4"/>
  <c r="F27" i="4"/>
  <c r="F25" i="4"/>
  <c r="F23" i="4"/>
  <c r="F21" i="4"/>
  <c r="F19" i="4"/>
  <c r="B99" i="4"/>
  <c r="F94" i="4"/>
  <c r="C92" i="4"/>
  <c r="B90" i="4"/>
  <c r="F85" i="4"/>
  <c r="C83" i="4"/>
  <c r="B81" i="4"/>
  <c r="F76" i="4"/>
  <c r="C74" i="4"/>
  <c r="B72" i="4"/>
  <c r="F67" i="4"/>
  <c r="E65" i="4"/>
  <c r="D63" i="4"/>
  <c r="E61" i="4"/>
  <c r="E59" i="4"/>
  <c r="D57" i="4"/>
  <c r="E55" i="4"/>
  <c r="E53" i="4"/>
  <c r="D51" i="4"/>
  <c r="E49" i="4"/>
  <c r="E47" i="4"/>
  <c r="D45" i="4"/>
  <c r="E43" i="4"/>
  <c r="E41" i="4"/>
  <c r="D39" i="4"/>
  <c r="E37" i="4"/>
  <c r="E35" i="4"/>
  <c r="D33" i="4"/>
  <c r="E31" i="4"/>
  <c r="E29" i="4"/>
  <c r="F96" i="4"/>
  <c r="C94" i="4"/>
  <c r="B92" i="4"/>
  <c r="F87" i="4"/>
  <c r="C85" i="4"/>
  <c r="B83" i="4"/>
  <c r="F78" i="4"/>
  <c r="C76" i="4"/>
  <c r="B74" i="4"/>
  <c r="F69" i="4"/>
  <c r="C67" i="4"/>
  <c r="C65" i="4"/>
  <c r="C63" i="4"/>
  <c r="C61" i="4"/>
  <c r="C59" i="4"/>
  <c r="C57" i="4"/>
  <c r="C55" i="4"/>
  <c r="C53" i="4"/>
  <c r="C51" i="4"/>
  <c r="C49" i="4"/>
  <c r="C47" i="4"/>
  <c r="C45" i="4"/>
  <c r="C43" i="4"/>
  <c r="C41" i="4"/>
  <c r="C39" i="4"/>
  <c r="C37" i="4"/>
  <c r="C35" i="4"/>
  <c r="C33" i="4"/>
  <c r="C31" i="4"/>
  <c r="C29" i="4"/>
  <c r="C27" i="4"/>
  <c r="C25" i="4"/>
  <c r="C23" i="4"/>
  <c r="F98" i="4"/>
  <c r="D96" i="4"/>
  <c r="B94" i="4"/>
  <c r="F89" i="4"/>
  <c r="D87" i="4"/>
  <c r="B85" i="4"/>
  <c r="F80" i="4"/>
  <c r="D78" i="4"/>
  <c r="B76" i="4"/>
  <c r="F71" i="4"/>
  <c r="D69" i="4"/>
  <c r="B67" i="4"/>
  <c r="B65" i="4"/>
  <c r="B63" i="4"/>
  <c r="B61" i="4"/>
  <c r="B59" i="4"/>
  <c r="B57" i="4"/>
  <c r="B55" i="4"/>
  <c r="B53" i="4"/>
  <c r="B51" i="4"/>
  <c r="B49" i="4"/>
  <c r="B47" i="4"/>
  <c r="B45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D3" i="4"/>
  <c r="E98" i="4"/>
  <c r="C96" i="4"/>
  <c r="E89" i="4"/>
  <c r="C87" i="4"/>
  <c r="E80" i="4"/>
  <c r="C78" i="4"/>
  <c r="E71" i="4"/>
  <c r="C69" i="4"/>
  <c r="C3" i="4"/>
  <c r="C98" i="4"/>
  <c r="B96" i="4"/>
  <c r="F91" i="4"/>
  <c r="C89" i="4"/>
  <c r="B87" i="4"/>
  <c r="F82" i="4"/>
  <c r="C80" i="4"/>
  <c r="B78" i="4"/>
  <c r="F73" i="4"/>
  <c r="C71" i="4"/>
  <c r="B69" i="4"/>
  <c r="B3" i="4"/>
  <c r="F95" i="4"/>
  <c r="D93" i="4"/>
  <c r="B91" i="4"/>
  <c r="F86" i="4"/>
  <c r="D84" i="4"/>
  <c r="B82" i="4"/>
  <c r="F77" i="4"/>
  <c r="D75" i="4"/>
  <c r="B73" i="4"/>
  <c r="F68" i="4"/>
  <c r="D66" i="4"/>
  <c r="E64" i="4"/>
  <c r="E62" i="4"/>
  <c r="D60" i="4"/>
  <c r="E58" i="4"/>
  <c r="E56" i="4"/>
  <c r="D54" i="4"/>
  <c r="E52" i="4"/>
  <c r="E50" i="4"/>
  <c r="D48" i="4"/>
  <c r="E46" i="4"/>
  <c r="E44" i="4"/>
  <c r="D42" i="4"/>
  <c r="E40" i="4"/>
  <c r="E38" i="4"/>
  <c r="D36" i="4"/>
  <c r="E34" i="4"/>
  <c r="E32" i="4"/>
  <c r="D30" i="4"/>
  <c r="E28" i="4"/>
  <c r="E26" i="4"/>
  <c r="D24" i="4"/>
  <c r="C21" i="3"/>
  <c r="D21" i="3" s="1"/>
  <c r="C45" i="3"/>
  <c r="D45" i="3" s="1"/>
  <c r="C57" i="3"/>
  <c r="D57" i="3" s="1"/>
  <c r="D69" i="3"/>
  <c r="C74" i="3"/>
  <c r="D74" i="3" s="1"/>
  <c r="C98" i="3"/>
  <c r="D98" i="3" s="1"/>
  <c r="C103" i="3"/>
  <c r="D103" i="3" s="1"/>
  <c r="D111" i="3"/>
  <c r="C127" i="3"/>
  <c r="D127" i="3" s="1"/>
  <c r="D135" i="3"/>
  <c r="C146" i="3"/>
  <c r="D146" i="3" s="1"/>
  <c r="C151" i="3"/>
  <c r="D151" i="3" s="1"/>
  <c r="D159" i="3"/>
  <c r="C170" i="3"/>
  <c r="D170" i="3" s="1"/>
  <c r="C2" i="3"/>
  <c r="D2" i="3" s="1"/>
  <c r="C82" i="3"/>
  <c r="D82" i="3" s="1"/>
  <c r="C106" i="3"/>
  <c r="D106" i="3" s="1"/>
  <c r="C130" i="3"/>
  <c r="D130" i="3" s="1"/>
  <c r="C154" i="3"/>
  <c r="D154" i="3" s="1"/>
  <c r="C178" i="3"/>
  <c r="D178" i="3" s="1"/>
  <c r="C186" i="3"/>
  <c r="D186" i="3" s="1"/>
  <c r="C203" i="3"/>
  <c r="D203" i="3" s="1"/>
  <c r="D214" i="3"/>
  <c r="C230" i="3"/>
  <c r="D230" i="3" s="1"/>
  <c r="C235" i="3"/>
  <c r="D235" i="3" s="1"/>
  <c r="D255" i="3"/>
  <c r="C281" i="3"/>
  <c r="D281" i="3" s="1"/>
  <c r="D6" i="4"/>
  <c r="E10" i="4"/>
  <c r="E14" i="4"/>
  <c r="D18" i="4"/>
  <c r="E25" i="4"/>
  <c r="F46" i="4"/>
  <c r="B71" i="4"/>
  <c r="B98" i="4"/>
  <c r="D237" i="3"/>
  <c r="C242" i="3"/>
  <c r="D242" i="3" s="1"/>
  <c r="C262" i="3"/>
  <c r="D262" i="3" s="1"/>
  <c r="D285" i="3"/>
  <c r="I101" i="4" l="1"/>
  <c r="I98" i="4"/>
  <c r="I95" i="4"/>
  <c r="I92" i="4"/>
  <c r="I89" i="4"/>
  <c r="I86" i="4"/>
  <c r="I83" i="4"/>
  <c r="I80" i="4"/>
  <c r="I77" i="4"/>
  <c r="I74" i="4"/>
  <c r="I71" i="4"/>
  <c r="I68" i="4"/>
  <c r="H101" i="4"/>
  <c r="H98" i="4"/>
  <c r="H95" i="4"/>
  <c r="H92" i="4"/>
  <c r="H89" i="4"/>
  <c r="H86" i="4"/>
  <c r="H83" i="4"/>
  <c r="H80" i="4"/>
  <c r="H77" i="4"/>
  <c r="H74" i="4"/>
  <c r="H71" i="4"/>
  <c r="H68" i="4"/>
  <c r="H65" i="4"/>
  <c r="H62" i="4"/>
  <c r="H59" i="4"/>
  <c r="H56" i="4"/>
  <c r="H53" i="4"/>
  <c r="H50" i="4"/>
  <c r="H47" i="4"/>
  <c r="H44" i="4"/>
  <c r="H41" i="4"/>
  <c r="H38" i="4"/>
  <c r="H35" i="4"/>
  <c r="H32" i="4"/>
  <c r="H29" i="4"/>
  <c r="H26" i="4"/>
  <c r="H23" i="4"/>
  <c r="H20" i="4"/>
  <c r="H17" i="4"/>
  <c r="H14" i="4"/>
  <c r="H11" i="4"/>
  <c r="H8" i="4"/>
  <c r="H5" i="4"/>
  <c r="H2" i="4"/>
  <c r="G101" i="4"/>
  <c r="H99" i="4"/>
  <c r="H96" i="4"/>
  <c r="H93" i="4"/>
  <c r="H90" i="4"/>
  <c r="H87" i="4"/>
  <c r="H84" i="4"/>
  <c r="H81" i="4"/>
  <c r="H78" i="4"/>
  <c r="H75" i="4"/>
  <c r="H72" i="4"/>
  <c r="H69" i="4"/>
  <c r="H66" i="4"/>
  <c r="H63" i="4"/>
  <c r="H60" i="4"/>
  <c r="H57" i="4"/>
  <c r="H54" i="4"/>
  <c r="H51" i="4"/>
  <c r="H48" i="4"/>
  <c r="H45" i="4"/>
  <c r="H42" i="4"/>
  <c r="H39" i="4"/>
  <c r="H36" i="4"/>
  <c r="H33" i="4"/>
  <c r="H30" i="4"/>
  <c r="H27" i="4"/>
  <c r="H24" i="4"/>
  <c r="H21" i="4"/>
  <c r="H18" i="4"/>
  <c r="H15" i="4"/>
  <c r="H12" i="4"/>
  <c r="H9" i="4"/>
  <c r="H6" i="4"/>
  <c r="H3" i="4"/>
  <c r="I100" i="4"/>
  <c r="I97" i="4"/>
  <c r="I94" i="4"/>
  <c r="I91" i="4"/>
  <c r="I88" i="4"/>
  <c r="I85" i="4"/>
  <c r="I82" i="4"/>
  <c r="I79" i="4"/>
  <c r="I76" i="4"/>
  <c r="I73" i="4"/>
  <c r="I70" i="4"/>
  <c r="I67" i="4"/>
  <c r="I64" i="4"/>
  <c r="I61" i="4"/>
  <c r="I58" i="4"/>
  <c r="I55" i="4"/>
  <c r="I52" i="4"/>
  <c r="I49" i="4"/>
  <c r="I46" i="4"/>
  <c r="I43" i="4"/>
  <c r="I40" i="4"/>
  <c r="I37" i="4"/>
  <c r="I34" i="4"/>
  <c r="I31" i="4"/>
  <c r="I28" i="4"/>
  <c r="I25" i="4"/>
  <c r="I22" i="4"/>
  <c r="I19" i="4"/>
  <c r="I16" i="4"/>
  <c r="I13" i="4"/>
  <c r="I10" i="4"/>
  <c r="I7" i="4"/>
  <c r="H100" i="4"/>
  <c r="G100" i="4"/>
  <c r="G97" i="4"/>
  <c r="I90" i="4"/>
  <c r="G88" i="4"/>
  <c r="I81" i="4"/>
  <c r="G79" i="4"/>
  <c r="I72" i="4"/>
  <c r="G70" i="4"/>
  <c r="I99" i="4"/>
  <c r="G90" i="4"/>
  <c r="G81" i="4"/>
  <c r="G72" i="4"/>
  <c r="G99" i="4"/>
  <c r="G92" i="4"/>
  <c r="G83" i="4"/>
  <c r="G74" i="4"/>
  <c r="I65" i="4"/>
  <c r="I63" i="4"/>
  <c r="H61" i="4"/>
  <c r="I59" i="4"/>
  <c r="I57" i="4"/>
  <c r="H55" i="4"/>
  <c r="I53" i="4"/>
  <c r="I51" i="4"/>
  <c r="H49" i="4"/>
  <c r="I47" i="4"/>
  <c r="I45" i="4"/>
  <c r="H43" i="4"/>
  <c r="I41" i="4"/>
  <c r="I39" i="4"/>
  <c r="H37" i="4"/>
  <c r="I35" i="4"/>
  <c r="I33" i="4"/>
  <c r="H31" i="4"/>
  <c r="I29" i="4"/>
  <c r="I27" i="4"/>
  <c r="H25" i="4"/>
  <c r="I23" i="4"/>
  <c r="I21" i="4"/>
  <c r="H19" i="4"/>
  <c r="I17" i="4"/>
  <c r="I15" i="4"/>
  <c r="H13" i="4"/>
  <c r="I11" i="4"/>
  <c r="I9" i="4"/>
  <c r="H7" i="4"/>
  <c r="I5" i="4"/>
  <c r="H94" i="4"/>
  <c r="H85" i="4"/>
  <c r="H76" i="4"/>
  <c r="H67" i="4"/>
  <c r="G65" i="4"/>
  <c r="G63" i="4"/>
  <c r="G61" i="4"/>
  <c r="G59" i="4"/>
  <c r="G57" i="4"/>
  <c r="G55" i="4"/>
  <c r="G53" i="4"/>
  <c r="G51" i="4"/>
  <c r="G49" i="4"/>
  <c r="G47" i="4"/>
  <c r="G45" i="4"/>
  <c r="G43" i="4"/>
  <c r="G41" i="4"/>
  <c r="G39" i="4"/>
  <c r="G37" i="4"/>
  <c r="G35" i="4"/>
  <c r="G33" i="4"/>
  <c r="G31" i="4"/>
  <c r="G29" i="4"/>
  <c r="G27" i="4"/>
  <c r="G25" i="4"/>
  <c r="G23" i="4"/>
  <c r="G21" i="4"/>
  <c r="G19" i="4"/>
  <c r="G17" i="4"/>
  <c r="G15" i="4"/>
  <c r="G13" i="4"/>
  <c r="G11" i="4"/>
  <c r="G9" i="4"/>
  <c r="G7" i="4"/>
  <c r="G5" i="4"/>
  <c r="I3" i="4"/>
  <c r="I96" i="4"/>
  <c r="G94" i="4"/>
  <c r="I87" i="4"/>
  <c r="G85" i="4"/>
  <c r="I78" i="4"/>
  <c r="G76" i="4"/>
  <c r="I69" i="4"/>
  <c r="G67" i="4"/>
  <c r="G96" i="4"/>
  <c r="G87" i="4"/>
  <c r="G78" i="4"/>
  <c r="G69" i="4"/>
  <c r="G98" i="4"/>
  <c r="G89" i="4"/>
  <c r="G80" i="4"/>
  <c r="G71" i="4"/>
  <c r="H91" i="4"/>
  <c r="H82" i="4"/>
  <c r="H73" i="4"/>
  <c r="I93" i="4"/>
  <c r="G91" i="4"/>
  <c r="I84" i="4"/>
  <c r="G82" i="4"/>
  <c r="I75" i="4"/>
  <c r="G73" i="4"/>
  <c r="I66" i="4"/>
  <c r="H64" i="4"/>
  <c r="I62" i="4"/>
  <c r="I60" i="4"/>
  <c r="H58" i="4"/>
  <c r="I56" i="4"/>
  <c r="I54" i="4"/>
  <c r="H52" i="4"/>
  <c r="I50" i="4"/>
  <c r="I48" i="4"/>
  <c r="H46" i="4"/>
  <c r="I44" i="4"/>
  <c r="I42" i="4"/>
  <c r="H40" i="4"/>
  <c r="I38" i="4"/>
  <c r="I36" i="4"/>
  <c r="H34" i="4"/>
  <c r="I32" i="4"/>
  <c r="I30" i="4"/>
  <c r="H28" i="4"/>
  <c r="I26" i="4"/>
  <c r="I24" i="4"/>
  <c r="H22" i="4"/>
  <c r="I20" i="4"/>
  <c r="I18" i="4"/>
  <c r="H16" i="4"/>
  <c r="I14" i="4"/>
  <c r="I12" i="4"/>
  <c r="H10" i="4"/>
  <c r="I8" i="4"/>
  <c r="I6" i="4"/>
  <c r="I4" i="4"/>
  <c r="G93" i="4"/>
  <c r="G84" i="4"/>
  <c r="G75" i="4"/>
  <c r="G66" i="4"/>
  <c r="G64" i="4"/>
  <c r="G62" i="4"/>
  <c r="G60" i="4"/>
  <c r="G58" i="4"/>
  <c r="G56" i="4"/>
  <c r="G54" i="4"/>
  <c r="G52" i="4"/>
  <c r="G50" i="4"/>
  <c r="G48" i="4"/>
  <c r="G46" i="4"/>
  <c r="G44" i="4"/>
  <c r="G42" i="4"/>
  <c r="G40" i="4"/>
  <c r="G38" i="4"/>
  <c r="G36" i="4"/>
  <c r="G34" i="4"/>
  <c r="G32" i="4"/>
  <c r="G30" i="4"/>
  <c r="G28" i="4"/>
  <c r="G26" i="4"/>
  <c r="G24" i="4"/>
  <c r="G22" i="4"/>
  <c r="G20" i="4"/>
  <c r="G18" i="4"/>
  <c r="G16" i="4"/>
  <c r="G14" i="4"/>
  <c r="G12" i="4"/>
  <c r="G10" i="4"/>
  <c r="G8" i="4"/>
  <c r="G6" i="4"/>
  <c r="H4" i="4"/>
  <c r="H97" i="4"/>
  <c r="H88" i="4"/>
  <c r="H79" i="4"/>
  <c r="H70" i="4"/>
  <c r="G2" i="4"/>
  <c r="G95" i="4"/>
  <c r="G68" i="4"/>
  <c r="G86" i="4"/>
  <c r="G4" i="4"/>
  <c r="G3" i="4"/>
  <c r="G77" i="4"/>
  <c r="I2" i="4"/>
</calcChain>
</file>

<file path=xl/sharedStrings.xml><?xml version="1.0" encoding="utf-8"?>
<sst xmlns="http://schemas.openxmlformats.org/spreadsheetml/2006/main" count="1790" uniqueCount="639">
  <si>
    <t>שם תלמיד</t>
  </si>
  <si>
    <t>כיתת אם</t>
  </si>
  <si>
    <t>ישוב</t>
  </si>
  <si>
    <t>אב</t>
  </si>
  <si>
    <t>נייד</t>
  </si>
  <si>
    <t>אם</t>
  </si>
  <si>
    <t>נייד 2</t>
  </si>
  <si>
    <t>אוזרסקי קורן ים</t>
  </si>
  <si>
    <t>א' - 1</t>
  </si>
  <si>
    <t>דבירה</t>
  </si>
  <si>
    <t>ודים</t>
  </si>
  <si>
    <t>054-5984412</t>
  </si>
  <si>
    <t>ירדן</t>
  </si>
  <si>
    <t>054-7916961</t>
  </si>
  <si>
    <t>אטיאס אליה</t>
  </si>
  <si>
    <t>א' - 2</t>
  </si>
  <si>
    <t>יקיר</t>
  </si>
  <si>
    <t>054-6666928</t>
  </si>
  <si>
    <t>גל</t>
  </si>
  <si>
    <t>054-7000690</t>
  </si>
  <si>
    <t>איאש הדס</t>
  </si>
  <si>
    <t>אביתר</t>
  </si>
  <si>
    <t>052-2624333</t>
  </si>
  <si>
    <t>מיכל</t>
  </si>
  <si>
    <t>054-8060750</t>
  </si>
  <si>
    <t>אליהו איתי</t>
  </si>
  <si>
    <t>הדר</t>
  </si>
  <si>
    <t>050-6363636</t>
  </si>
  <si>
    <t>לימור</t>
  </si>
  <si>
    <t>052-8340912</t>
  </si>
  <si>
    <t>אמיתי אופיר</t>
  </si>
  <si>
    <t>ניצן</t>
  </si>
  <si>
    <t>052-8105335</t>
  </si>
  <si>
    <t>סיון</t>
  </si>
  <si>
    <t>054-4666337</t>
  </si>
  <si>
    <t>בנאי אורי</t>
  </si>
  <si>
    <t>אהוד</t>
  </si>
  <si>
    <t>052-8105314</t>
  </si>
  <si>
    <t>054-260-8250</t>
  </si>
  <si>
    <t>בשן נגה</t>
  </si>
  <si>
    <t>חנן</t>
  </si>
  <si>
    <t>052-5306172</t>
  </si>
  <si>
    <t>שרון</t>
  </si>
  <si>
    <t>050-8444188</t>
  </si>
  <si>
    <t>גולדפרב רפאל</t>
  </si>
  <si>
    <t>שימי</t>
  </si>
  <si>
    <t>054-5869203</t>
  </si>
  <si>
    <t>אורטל</t>
  </si>
  <si>
    <t>052-6671235</t>
  </si>
  <si>
    <t>ויסברג עדי</t>
  </si>
  <si>
    <t>איתי</t>
  </si>
  <si>
    <t>054-2228232</t>
  </si>
  <si>
    <t>איילת צי</t>
  </si>
  <si>
    <t>זר דריה אירית</t>
  </si>
  <si>
    <t>נפתלי אליעזר</t>
  </si>
  <si>
    <t>054-5851580</t>
  </si>
  <si>
    <t>עדן</t>
  </si>
  <si>
    <t>052-8105484</t>
  </si>
  <si>
    <t>כרמל עלמא</t>
  </si>
  <si>
    <t>אלעד</t>
  </si>
  <si>
    <t>050-8335225</t>
  </si>
  <si>
    <t>050-4899495</t>
  </si>
  <si>
    <t>חורין מאור</t>
  </si>
  <si>
    <t>גלעד</t>
  </si>
  <si>
    <t>054-480-7163</t>
  </si>
  <si>
    <t>ספיר</t>
  </si>
  <si>
    <t>054-490-7417</t>
  </si>
  <si>
    <t>חדד נועה גבריאל</t>
  </si>
  <si>
    <t>משה</t>
  </si>
  <si>
    <t>054-6660199</t>
  </si>
  <si>
    <t>רחל</t>
  </si>
  <si>
    <t>054-9021318</t>
  </si>
  <si>
    <t>יונקמן טומי</t>
  </si>
  <si>
    <t>נעם</t>
  </si>
  <si>
    <t>050-5236298</t>
  </si>
  <si>
    <t>פלג</t>
  </si>
  <si>
    <t>052-8105229</t>
  </si>
  <si>
    <t>יעקובי רנן אלבי</t>
  </si>
  <si>
    <t>יניב</t>
  </si>
  <si>
    <t>054-9106949</t>
  </si>
  <si>
    <t>הילה</t>
  </si>
  <si>
    <t>052-5508580</t>
  </si>
  <si>
    <t>כהן נגב</t>
  </si>
  <si>
    <t>אמציה</t>
  </si>
  <si>
    <t>050-9288800</t>
  </si>
  <si>
    <t>רביד</t>
  </si>
  <si>
    <t>054-6494668</t>
  </si>
  <si>
    <t>לנקרי אורי</t>
  </si>
  <si>
    <t>עמר</t>
  </si>
  <si>
    <t>052-5799879</t>
  </si>
  <si>
    <t>לאה</t>
  </si>
  <si>
    <t>054-9455760</t>
  </si>
  <si>
    <t>סקג'ו יהלי</t>
  </si>
  <si>
    <t>איל</t>
  </si>
  <si>
    <t>050-6238981</t>
  </si>
  <si>
    <t>שירן</t>
  </si>
  <si>
    <t>050-6248934</t>
  </si>
  <si>
    <t>פוגל יצחקי אופק</t>
  </si>
  <si>
    <t>שלומי</t>
  </si>
  <si>
    <t>052-4836462</t>
  </si>
  <si>
    <t>050-789-0007</t>
  </si>
  <si>
    <t>פונגסידה עלמא ג'נט</t>
  </si>
  <si>
    <t>סאווירט</t>
  </si>
  <si>
    <t>שי</t>
  </si>
  <si>
    <t>052-8105542</t>
  </si>
  <si>
    <t>פרץ רני</t>
  </si>
  <si>
    <t>דניאל</t>
  </si>
  <si>
    <t>052-7213203</t>
  </si>
  <si>
    <t>נואי</t>
  </si>
  <si>
    <t>053-4205629</t>
  </si>
  <si>
    <t>קלפון דור</t>
  </si>
  <si>
    <t>אליאב</t>
  </si>
  <si>
    <t>050-5065453</t>
  </si>
  <si>
    <t>אורית</t>
  </si>
  <si>
    <t>052-8105211</t>
  </si>
  <si>
    <t>רובין אביב</t>
  </si>
  <si>
    <t>ראם</t>
  </si>
  <si>
    <t>050-7681666</t>
  </si>
  <si>
    <t>052-8280929</t>
  </si>
  <si>
    <t>שטוטמן אורי</t>
  </si>
  <si>
    <t>יניר</t>
  </si>
  <si>
    <t>052-5409995</t>
  </si>
  <si>
    <t>ליאורה ר</t>
  </si>
  <si>
    <t>052-2249900</t>
  </si>
  <si>
    <t>שראייר יהונתן</t>
  </si>
  <si>
    <t>יואב</t>
  </si>
  <si>
    <t>054-4978052</t>
  </si>
  <si>
    <t>שירן טובה</t>
  </si>
  <si>
    <t>052-6446282</t>
  </si>
  <si>
    <t>בוסיבא שי-לי</t>
  </si>
  <si>
    <t>ב' - 1</t>
  </si>
  <si>
    <t>ליאת</t>
  </si>
  <si>
    <t>054-3010207</t>
  </si>
  <si>
    <t>בנימין יובל דויד</t>
  </si>
  <si>
    <t>יונתן לואיס</t>
  </si>
  <si>
    <t>050-7306010</t>
  </si>
  <si>
    <t>הדס</t>
  </si>
  <si>
    <t>בקון עמית</t>
  </si>
  <si>
    <t>דקל</t>
  </si>
  <si>
    <t>052-9452163</t>
  </si>
  <si>
    <t>מור</t>
  </si>
  <si>
    <t>052-9452163 ,052-3640321</t>
  </si>
  <si>
    <t>טליאס גיא מאיר</t>
  </si>
  <si>
    <t>תמיר</t>
  </si>
  <si>
    <t>052-8105276</t>
  </si>
  <si>
    <t>צליל</t>
  </si>
  <si>
    <t>050-6598334</t>
  </si>
  <si>
    <t>כהן איתי</t>
  </si>
  <si>
    <t>עפר</t>
  </si>
  <si>
    <t>052-7482843</t>
  </si>
  <si>
    <t>יעל</t>
  </si>
  <si>
    <t>054-2459124</t>
  </si>
  <si>
    <t>להב אורי</t>
  </si>
  <si>
    <t>ערן (דוד</t>
  </si>
  <si>
    <t>054-2561461</t>
  </si>
  <si>
    <t>יערה</t>
  </si>
  <si>
    <t>058-6862244</t>
  </si>
  <si>
    <t>לוין רונה</t>
  </si>
  <si>
    <t>ליאור</t>
  </si>
  <si>
    <t>052-8105283</t>
  </si>
  <si>
    <t>ברית</t>
  </si>
  <si>
    <t>054-5292052</t>
  </si>
  <si>
    <t>פרידמן רני</t>
  </si>
  <si>
    <t>ברק</t>
  </si>
  <si>
    <t>054-3452770</t>
  </si>
  <si>
    <t>שניר</t>
  </si>
  <si>
    <t>054-9009033</t>
  </si>
  <si>
    <t>קרואני עידן אייל</t>
  </si>
  <si>
    <t>שגיא</t>
  </si>
  <si>
    <t>052-8105494</t>
  </si>
  <si>
    <t>דנה</t>
  </si>
  <si>
    <t>054-6317282</t>
  </si>
  <si>
    <t>בלקין פרדו ב מתיאו</t>
  </si>
  <si>
    <t>ב' - 2</t>
  </si>
  <si>
    <t>מרסלו</t>
  </si>
  <si>
    <t>050-8843020</t>
  </si>
  <si>
    <t>מילנה</t>
  </si>
  <si>
    <t>058-6669293</t>
  </si>
  <si>
    <t>בן יוסף עומר</t>
  </si>
  <si>
    <t>יפתח</t>
  </si>
  <si>
    <t>054-6616410</t>
  </si>
  <si>
    <t>נטלי</t>
  </si>
  <si>
    <t>052-5361939</t>
  </si>
  <si>
    <t>גבע מאיה</t>
  </si>
  <si>
    <t>ים</t>
  </si>
  <si>
    <t>054-5665800</t>
  </si>
  <si>
    <t>מיטל אליס</t>
  </si>
  <si>
    <t>054-5715432</t>
  </si>
  <si>
    <t>גוטמן תומר</t>
  </si>
  <si>
    <t>נמרוד</t>
  </si>
  <si>
    <t>050-2034347</t>
  </si>
  <si>
    <t>אפרת</t>
  </si>
  <si>
    <t>050-4417715</t>
  </si>
  <si>
    <t>גליצנשטיין שחר</t>
  </si>
  <si>
    <t>רונן</t>
  </si>
  <si>
    <t>054-5608622</t>
  </si>
  <si>
    <t>052-4662263</t>
  </si>
  <si>
    <t>דוידסון עידן</t>
  </si>
  <si>
    <t>רונן אנד</t>
  </si>
  <si>
    <t>050-2310013</t>
  </si>
  <si>
    <t>עמית</t>
  </si>
  <si>
    <t>054-5670566</t>
  </si>
  <si>
    <t>הדס אלמוג</t>
  </si>
  <si>
    <t>אלדד</t>
  </si>
  <si>
    <t>054-5686920</t>
  </si>
  <si>
    <t>אנה</t>
  </si>
  <si>
    <t>054-6331706</t>
  </si>
  <si>
    <t>כהן ליאם</t>
  </si>
  <si>
    <t>איתיאל</t>
  </si>
  <si>
    <t>050-6766677</t>
  </si>
  <si>
    <t>טטיאנה</t>
  </si>
  <si>
    <t>050-4523490</t>
  </si>
  <si>
    <t>כהן עילי ליב</t>
  </si>
  <si>
    <t>מתן</t>
  </si>
  <si>
    <t>054-4854020</t>
  </si>
  <si>
    <t>רותם</t>
  </si>
  <si>
    <t>050-5345541</t>
  </si>
  <si>
    <t>סהר נגב</t>
  </si>
  <si>
    <t>יתיר</t>
  </si>
  <si>
    <t>050-6239124</t>
  </si>
  <si>
    <t>קרן שמש</t>
  </si>
  <si>
    <t>054-7714010</t>
  </si>
  <si>
    <t>איאש עידו</t>
  </si>
  <si>
    <t>ג' - 1</t>
  </si>
  <si>
    <t>בשן כרם</t>
  </si>
  <si>
    <t>הררי נטע</t>
  </si>
  <si>
    <t>אורי</t>
  </si>
  <si>
    <t>052-8666243</t>
  </si>
  <si>
    <t>חן מלי</t>
  </si>
  <si>
    <t>058-4646468</t>
  </si>
  <si>
    <t>כהן ינאי</t>
  </si>
  <si>
    <t>יהודה או</t>
  </si>
  <si>
    <t>054-4882230</t>
  </si>
  <si>
    <t>אסתי</t>
  </si>
  <si>
    <t>052-7798329</t>
  </si>
  <si>
    <t>נאור עומר</t>
  </si>
  <si>
    <t>אחיקם</t>
  </si>
  <si>
    <t>ליטל</t>
  </si>
  <si>
    <t>054-4563069</t>
  </si>
  <si>
    <t>פארן עלמה</t>
  </si>
  <si>
    <t>נוה</t>
  </si>
  <si>
    <t>052-2372567</t>
  </si>
  <si>
    <t>050-4443636</t>
  </si>
  <si>
    <t>שני אייל</t>
  </si>
  <si>
    <t>ינאי</t>
  </si>
  <si>
    <t>052-8105315</t>
  </si>
  <si>
    <t>אביגל</t>
  </si>
  <si>
    <t>052-6015363</t>
  </si>
  <si>
    <t>אטיאס רפאל</t>
  </si>
  <si>
    <t>ג' - 2</t>
  </si>
  <si>
    <t>אפללו יובל זיוה</t>
  </si>
  <si>
    <t>יגאל</t>
  </si>
  <si>
    <t>050-5679383</t>
  </si>
  <si>
    <t>054-4874988</t>
  </si>
  <si>
    <t>בירקנפלד אביב</t>
  </si>
  <si>
    <t>052-4708771</t>
  </si>
  <si>
    <t>לילי</t>
  </si>
  <si>
    <t>בכר ניצן</t>
  </si>
  <si>
    <t>אביעד</t>
  </si>
  <si>
    <t>050-6312674</t>
  </si>
  <si>
    <t>נופר</t>
  </si>
  <si>
    <t>052-8105368</t>
  </si>
  <si>
    <t>בקון לביא</t>
  </si>
  <si>
    <t>בשן תמר</t>
  </si>
  <si>
    <t>פרידמן אהרון בן פול</t>
  </si>
  <si>
    <t>עודד</t>
  </si>
  <si>
    <t>050-2504338</t>
  </si>
  <si>
    <t>פרילוצקי גיא</t>
  </si>
  <si>
    <t>רומן ישר</t>
  </si>
  <si>
    <t>054-5937340</t>
  </si>
  <si>
    <t>אינה</t>
  </si>
  <si>
    <t>054-5224869</t>
  </si>
  <si>
    <t>רבינס אוהד</t>
  </si>
  <si>
    <t>054-5310243</t>
  </si>
  <si>
    <t>מאיה</t>
  </si>
  <si>
    <t>052-5507925</t>
  </si>
  <si>
    <t>שטוטמן עומר</t>
  </si>
  <si>
    <t>אגאי אימרי</t>
  </si>
  <si>
    <t>ד' - 1</t>
  </si>
  <si>
    <t>ערן</t>
  </si>
  <si>
    <t>054-7103394</t>
  </si>
  <si>
    <t>054-5541050</t>
  </si>
  <si>
    <t>אמיתי מיקה</t>
  </si>
  <si>
    <t>אפרתי רגב</t>
  </si>
  <si>
    <t>050-6998907</t>
  </si>
  <si>
    <t>המיה</t>
  </si>
  <si>
    <t>050-9162283</t>
  </si>
  <si>
    <t>ווינטראוב גלי</t>
  </si>
  <si>
    <t>אורן נחמן</t>
  </si>
  <si>
    <t>054-4764752</t>
  </si>
  <si>
    <t>קרן</t>
  </si>
  <si>
    <t>054-9805000</t>
  </si>
  <si>
    <t>זדה שניר</t>
  </si>
  <si>
    <t>רביב</t>
  </si>
  <si>
    <t>052-3156650</t>
  </si>
  <si>
    <t>050-9110506</t>
  </si>
  <si>
    <t>טיאר ירדן</t>
  </si>
  <si>
    <t>צחי</t>
  </si>
  <si>
    <t>052-9257638</t>
  </si>
  <si>
    <t>אדוה גילה</t>
  </si>
  <si>
    <t>054-8158527</t>
  </si>
  <si>
    <t>כהן אלון</t>
  </si>
  <si>
    <t>להב אדם</t>
  </si>
  <si>
    <t>פרי נאאיה</t>
  </si>
  <si>
    <t>054-641-6612</t>
  </si>
  <si>
    <t>איסי לי</t>
  </si>
  <si>
    <t>054-7589842</t>
  </si>
  <si>
    <t>קלפון שהם</t>
  </si>
  <si>
    <t>תורג'מן ירדן</t>
  </si>
  <si>
    <t>עופר</t>
  </si>
  <si>
    <t>050-8366662</t>
  </si>
  <si>
    <t>050-5281728</t>
  </si>
  <si>
    <t>אלימלך יעד</t>
  </si>
  <si>
    <t>ד' - 2</t>
  </si>
  <si>
    <t>דור</t>
  </si>
  <si>
    <t>050-2599146</t>
  </si>
  <si>
    <t>רות</t>
  </si>
  <si>
    <t>050-7599146</t>
  </si>
  <si>
    <t>הרוש זואי</t>
  </si>
  <si>
    <t>ניר</t>
  </si>
  <si>
    <t>050-7570203</t>
  </si>
  <si>
    <t>רינת</t>
  </si>
  <si>
    <t>052-2897962</t>
  </si>
  <si>
    <t>חדד רוז דניאל</t>
  </si>
  <si>
    <t>חזן שירי רחל</t>
  </si>
  <si>
    <t>גיא</t>
  </si>
  <si>
    <t>050-2245147</t>
  </si>
  <si>
    <t>נועה סול</t>
  </si>
  <si>
    <t>יצחקי יובל</t>
  </si>
  <si>
    <t>052-9209635</t>
  </si>
  <si>
    <t>מורן</t>
  </si>
  <si>
    <t>052-8976407</t>
  </si>
  <si>
    <t>כהן ארבל</t>
  </si>
  <si>
    <t>כהן ריף מאיה</t>
  </si>
  <si>
    <t>נאור סהר</t>
  </si>
  <si>
    <t>054-331-7288</t>
  </si>
  <si>
    <t>קליינר תומר</t>
  </si>
  <si>
    <t>טל</t>
  </si>
  <si>
    <t>054-6755116</t>
  </si>
  <si>
    <t>מיכל שרית</t>
  </si>
  <si>
    <t>054-4768055</t>
  </si>
  <si>
    <t>קרימרמן איתן ניר</t>
  </si>
  <si>
    <t>מטיאס גב</t>
  </si>
  <si>
    <t>054-5376754</t>
  </si>
  <si>
    <t>אשרה</t>
  </si>
  <si>
    <t>054-5262653</t>
  </si>
  <si>
    <t>שגיא אלה</t>
  </si>
  <si>
    <t>יפתח מאי</t>
  </si>
  <si>
    <t>054-9344704</t>
  </si>
  <si>
    <t>052-3846013</t>
  </si>
  <si>
    <t>שואף נעם</t>
  </si>
  <si>
    <t>058-4444531</t>
  </si>
  <si>
    <t>איילת</t>
  </si>
  <si>
    <t>054-2401524</t>
  </si>
  <si>
    <t>שראייר אופיר</t>
  </si>
  <si>
    <t>איאש דורון</t>
  </si>
  <si>
    <t>ה' - 1</t>
  </si>
  <si>
    <t>ברטוב גל גדעון</t>
  </si>
  <si>
    <t>054-4434241</t>
  </si>
  <si>
    <t>אורלי דב</t>
  </si>
  <si>
    <t>054-9009700</t>
  </si>
  <si>
    <t>הררי מתן</t>
  </si>
  <si>
    <t>ויסברג רעות</t>
  </si>
  <si>
    <t>ז'נסקר פז אלמה</t>
  </si>
  <si>
    <t>אדוארד</t>
  </si>
  <si>
    <t>054-7677354</t>
  </si>
  <si>
    <t>052-3592550</t>
  </si>
  <si>
    <t>זר רותם מרים</t>
  </si>
  <si>
    <t>מקלר נטע</t>
  </si>
  <si>
    <t>רן</t>
  </si>
  <si>
    <t>050-9441076</t>
  </si>
  <si>
    <t>עדי</t>
  </si>
  <si>
    <t>052-6055287</t>
  </si>
  <si>
    <t>נחליאלי אלון</t>
  </si>
  <si>
    <t>גיל-עד י</t>
  </si>
  <si>
    <t>054-7784438</t>
  </si>
  <si>
    <t>052-9450838</t>
  </si>
  <si>
    <t>סהר אשד</t>
  </si>
  <si>
    <t>בס מתאו סימון</t>
  </si>
  <si>
    <t>ה' - 2</t>
  </si>
  <si>
    <t>אליעזר</t>
  </si>
  <si>
    <t>050-6532203</t>
  </si>
  <si>
    <t>שימרית עירית</t>
  </si>
  <si>
    <t>052-2407959</t>
  </si>
  <si>
    <t>גבע אופיר</t>
  </si>
  <si>
    <t>גונן יפתח</t>
  </si>
  <si>
    <t>לירון</t>
  </si>
  <si>
    <t>052-9240396</t>
  </si>
  <si>
    <t>אולגה</t>
  </si>
  <si>
    <t>054-7299545</t>
  </si>
  <si>
    <t>גור עומר</t>
  </si>
  <si>
    <t>ינון</t>
  </si>
  <si>
    <t>054-5670408</t>
  </si>
  <si>
    <t>מיטל</t>
  </si>
  <si>
    <t>054-5670409</t>
  </si>
  <si>
    <t>פרידמן אהרון דין</t>
  </si>
  <si>
    <t>רביד אדם</t>
  </si>
  <si>
    <t>052-6344423</t>
  </si>
  <si>
    <t>איה</t>
  </si>
  <si>
    <t>052-8105498</t>
  </si>
  <si>
    <t>גולדפרב נדב</t>
  </si>
  <si>
    <t>ה' - 3</t>
  </si>
  <si>
    <t>גולני נועם</t>
  </si>
  <si>
    <t>מעין</t>
  </si>
  <si>
    <t>052-2469554</t>
  </si>
  <si>
    <t>052-6333431</t>
  </si>
  <si>
    <t>גרבי תמרה</t>
  </si>
  <si>
    <t>דרור ישר</t>
  </si>
  <si>
    <t>050-6942422</t>
  </si>
  <si>
    <t>הלה</t>
  </si>
  <si>
    <t>052-2825098</t>
  </si>
  <si>
    <t>דוידסון אוהד</t>
  </si>
  <si>
    <t>ז'נסקר פז אלון</t>
  </si>
  <si>
    <t>ישנו נבו</t>
  </si>
  <si>
    <t>058-7105485</t>
  </si>
  <si>
    <t>050-8776550</t>
  </si>
  <si>
    <t>קרואני איתן</t>
  </si>
  <si>
    <t>רפפורט עומרי</t>
  </si>
  <si>
    <t>אביב</t>
  </si>
  <si>
    <t>054-6606136</t>
  </si>
  <si>
    <t>ענת</t>
  </si>
  <si>
    <t>שואף אליה</t>
  </si>
  <si>
    <t>נדב</t>
  </si>
  <si>
    <t>052-8105398</t>
  </si>
  <si>
    <t>ציפי</t>
  </si>
  <si>
    <t>054-6452402</t>
  </si>
  <si>
    <t>אל אל שחר דניאל</t>
  </si>
  <si>
    <t>ו' - 1</t>
  </si>
  <si>
    <t>054-6672322</t>
  </si>
  <si>
    <t>054-5661581</t>
  </si>
  <si>
    <t>אליהו רוני</t>
  </si>
  <si>
    <t>בקון מזור אשל</t>
  </si>
  <si>
    <t>דגן</t>
  </si>
  <si>
    <t>054-7636664</t>
  </si>
  <si>
    <t>הגר</t>
  </si>
  <si>
    <t>054-7636665</t>
  </si>
  <si>
    <t>דוידי איה</t>
  </si>
  <si>
    <t>054-2337696</t>
  </si>
  <si>
    <t>054-8882126</t>
  </si>
  <si>
    <t>מאיר עידו</t>
  </si>
  <si>
    <t>נתן</t>
  </si>
  <si>
    <t>054-4612544</t>
  </si>
  <si>
    <t>חן</t>
  </si>
  <si>
    <t>054-6677241</t>
  </si>
  <si>
    <t>מולכו מעין</t>
  </si>
  <si>
    <t>נועם</t>
  </si>
  <si>
    <t>054-7887333</t>
  </si>
  <si>
    <t>אנטל</t>
  </si>
  <si>
    <t>054-2065660</t>
  </si>
  <si>
    <t>פרילוצקי מעין גל</t>
  </si>
  <si>
    <t>רבינס מיכל</t>
  </si>
  <si>
    <t>דוידסון גיל</t>
  </si>
  <si>
    <t>ו' - 2</t>
  </si>
  <si>
    <t>הדס אלון</t>
  </si>
  <si>
    <t>חדד תמר מיכאל</t>
  </si>
  <si>
    <t>ירון עמליה</t>
  </si>
  <si>
    <t>איתמר</t>
  </si>
  <si>
    <t>054-7356828</t>
  </si>
  <si>
    <t>052-3441176</t>
  </si>
  <si>
    <t>כהן אילאי</t>
  </si>
  <si>
    <t>ליבוביץ יובל</t>
  </si>
  <si>
    <t>אלון</t>
  </si>
  <si>
    <t>052-6126550</t>
  </si>
  <si>
    <t>דקלה צבי</t>
  </si>
  <si>
    <t>קליינר הראל</t>
  </si>
  <si>
    <t>שגיא בארי</t>
  </si>
  <si>
    <t>שדמי חיון עמית</t>
  </si>
  <si>
    <t>052-4287874</t>
  </si>
  <si>
    <t>רוני</t>
  </si>
  <si>
    <t>050-9318056</t>
  </si>
  <si>
    <t>שטוטמן נעם</t>
  </si>
  <si>
    <t>שליי אייל</t>
  </si>
  <si>
    <t>אילן</t>
  </si>
  <si>
    <t>054-6979901</t>
  </si>
  <si>
    <t>טהר</t>
  </si>
  <si>
    <t>054-5670378</t>
  </si>
  <si>
    <t>אל אל טל</t>
  </si>
  <si>
    <t>ו' - 3</t>
  </si>
  <si>
    <t>אשכנזי אדלר אימרי</t>
  </si>
  <si>
    <t>אוריה</t>
  </si>
  <si>
    <t>054-2545457</t>
  </si>
  <si>
    <t>054-6689065</t>
  </si>
  <si>
    <t>בכר שניר</t>
  </si>
  <si>
    <t>בן ארוש גילי</t>
  </si>
  <si>
    <t>חגי חיים</t>
  </si>
  <si>
    <t>050-7989101</t>
  </si>
  <si>
    <t>שני</t>
  </si>
  <si>
    <t>050-7888218</t>
  </si>
  <si>
    <t>בן יוסף יואב</t>
  </si>
  <si>
    <t>וייס תומר</t>
  </si>
  <si>
    <t>שחר</t>
  </si>
  <si>
    <t>054-7903022</t>
  </si>
  <si>
    <t>050-7596411</t>
  </si>
  <si>
    <t>חזן נדב יעקב</t>
  </si>
  <si>
    <t>טל הדס</t>
  </si>
  <si>
    <t>דרור</t>
  </si>
  <si>
    <t>050-7959924</t>
  </si>
  <si>
    <t>אלינור</t>
  </si>
  <si>
    <t>050-5919882</t>
  </si>
  <si>
    <t>לוין קרני</t>
  </si>
  <si>
    <t>לנקרי רומי</t>
  </si>
  <si>
    <t>פריד בר</t>
  </si>
  <si>
    <t>אמיר יעק</t>
  </si>
  <si>
    <t>050-7929578</t>
  </si>
  <si>
    <t>טלי</t>
  </si>
  <si>
    <t>050-7401757</t>
  </si>
  <si>
    <t>קלוגמן ארי</t>
  </si>
  <si>
    <t>ראובן</t>
  </si>
  <si>
    <t>054-4269601</t>
  </si>
  <si>
    <t>חנית</t>
  </si>
  <si>
    <t>054-7986336</t>
  </si>
  <si>
    <t>קלפון יהב</t>
  </si>
  <si>
    <t>שני אסף</t>
  </si>
  <si>
    <t>שראייר איתמר</t>
  </si>
  <si>
    <t>כרמל יהב</t>
  </si>
  <si>
    <t>בן דור דן</t>
  </si>
  <si>
    <t>עומר טל</t>
  </si>
  <si>
    <t>052-3112636</t>
  </si>
  <si>
    <t>אנגלשטיין שני</t>
  </si>
  <si>
    <t>דיו נויה</t>
  </si>
  <si>
    <t>050-3795265</t>
  </si>
  <si>
    <t>תאריך</t>
  </si>
  <si>
    <t>משמרת</t>
  </si>
  <si>
    <t>הסעה 1 (א-ב)</t>
  </si>
  <si>
    <t>הסעה 2 (ג-ו)</t>
  </si>
  <si>
    <t>הסעה 3 (ד-ה)</t>
  </si>
  <si>
    <t>רכב מסיע</t>
  </si>
  <si>
    <t>בוקר</t>
  </si>
  <si>
    <t>דוידסון - רונן אנד/עמית</t>
  </si>
  <si>
    <t>כהן - יהודה או/אסתי</t>
  </si>
  <si>
    <t>אפרתי - נעם/המיה</t>
  </si>
  <si>
    <t>סקג'ו - איל/שירן</t>
  </si>
  <si>
    <t>צהריים</t>
  </si>
  <si>
    <t>שטוטמן - יניר/ליאורה ר</t>
  </si>
  <si>
    <t>בן יוסף - יפתח/נטלי</t>
  </si>
  <si>
    <t>נאור - אחיקם/ליטל</t>
  </si>
  <si>
    <t>ירון - איתמר/יעל</t>
  </si>
  <si>
    <t>פרץ - דניאל/נואי</t>
  </si>
  <si>
    <t>פרילוצקי - רומן ישר/אינה</t>
  </si>
  <si>
    <t>ויסברג - איתי/איילת צי</t>
  </si>
  <si>
    <t>פונגסידה עלמא - סאווירט/שי</t>
  </si>
  <si>
    <t>בשן - חנן/שרון</t>
  </si>
  <si>
    <t>כהן - איתיאל/טטיאנה</t>
  </si>
  <si>
    <t>הררי - אורי/חן מלי</t>
  </si>
  <si>
    <t>רבינס - רונן/מאיה</t>
  </si>
  <si>
    <t>גבע - ים/מיטל אליס</t>
  </si>
  <si>
    <t>טל - דרור/אלינור</t>
  </si>
  <si>
    <t>כהן - עפר/יעל</t>
  </si>
  <si>
    <t>שראייר - יואב/שירן טובה</t>
  </si>
  <si>
    <t>פוגל יצחקי - שלומי/מיכל</t>
  </si>
  <si>
    <t>איאש - אביתר/מיכל</t>
  </si>
  <si>
    <t>פרי - שלומי/איסי לי</t>
  </si>
  <si>
    <t>פרידמן אהרון - עודד/מיכל</t>
  </si>
  <si>
    <t>הדס - אלדד/אנה</t>
  </si>
  <si>
    <t>חדד - משה/רחל</t>
  </si>
  <si>
    <t>שדמי חיון - ליאור/רוני</t>
  </si>
  <si>
    <t>להב - ערן (דוד/יערה</t>
  </si>
  <si>
    <t>קלפון - אליאב/אורית</t>
  </si>
  <si>
    <t>בן דור - עומר טל</t>
  </si>
  <si>
    <t>פארן - נוה/אפרת</t>
  </si>
  <si>
    <t>גולדפרב - שימי/אורטל</t>
  </si>
  <si>
    <t>בירקנפלד - גל/לילי</t>
  </si>
  <si>
    <t>יצחקי - אהוד/מורן</t>
  </si>
  <si>
    <t>שואף - נדב/ציפי</t>
  </si>
  <si>
    <t>בנימין - יונתן לואיס/הדס</t>
  </si>
  <si>
    <t>מולכו - נועם/אנטל</t>
  </si>
  <si>
    <t>גור - ינון/מיטל</t>
  </si>
  <si>
    <t>ברטוב - שי/אורלי דב</t>
  </si>
  <si>
    <t>פרידמן - ברק/שניר</t>
  </si>
  <si>
    <t>אפללו - יגאל/אפרת</t>
  </si>
  <si>
    <t>ז'נסקר פז - אדוארד/הילה</t>
  </si>
  <si>
    <t>בנאי - אהוד/הדר</t>
  </si>
  <si>
    <t>גוטמן - נמרוד/אפרת</t>
  </si>
  <si>
    <t>דוידי - יגאל/הילה</t>
  </si>
  <si>
    <t>גונן - לירון/אולגה</t>
  </si>
  <si>
    <t>כהן - מתן/רותם</t>
  </si>
  <si>
    <t>קרואני - שגיא/דנה</t>
  </si>
  <si>
    <t>לוין - ליאור/ברית</t>
  </si>
  <si>
    <t>טיאר - צחי/אדוה גילה</t>
  </si>
  <si>
    <t>תורג'מן - עופר/הדס</t>
  </si>
  <si>
    <t>אליהו - הדר/לימור</t>
  </si>
  <si>
    <t>קליינר - טל/מיכל שרית</t>
  </si>
  <si>
    <t>וייס - שחר/מיטל</t>
  </si>
  <si>
    <t>אטיאס - יקיר/גל</t>
  </si>
  <si>
    <t>זר - נפתלי אליעזר/עדן</t>
  </si>
  <si>
    <t>ליבוביץ - אלון/דקלה צבי</t>
  </si>
  <si>
    <t>בן ארוש - חגי חיים/שני</t>
  </si>
  <si>
    <t>ישנו - אורי/ליאור</t>
  </si>
  <si>
    <t>שני - ינאי/אביגל</t>
  </si>
  <si>
    <t>גליצנשטיין - רונן/הדס</t>
  </si>
  <si>
    <t>אל אל - שרון/סיון</t>
  </si>
  <si>
    <t>שגיא - יפתח מאי/טל</t>
  </si>
  <si>
    <t>פריד - אמיר יעק/טלי</t>
  </si>
  <si>
    <t>טליאס - תמיר/צליל</t>
  </si>
  <si>
    <t>בכר - אביעד/נופר</t>
  </si>
  <si>
    <t>אמיתי - ניצן/סיון</t>
  </si>
  <si>
    <t>בוסיבא - ליאת</t>
  </si>
  <si>
    <t>כהן - אמציה/רביד</t>
  </si>
  <si>
    <t>גרבי - דרור ישר/הלה</t>
  </si>
  <si>
    <t>אגאי - ערן/ליאת</t>
  </si>
  <si>
    <t>בס - אליעזר/שימרית עירית</t>
  </si>
  <si>
    <t>בלקין פרדו ב - מרסלו/מילנה</t>
  </si>
  <si>
    <t>לנקרי - עמר/לאה</t>
  </si>
  <si>
    <t>רביד - אורי/איה</t>
  </si>
  <si>
    <t>רובין - ראם/הילה</t>
  </si>
  <si>
    <t>אשכנזי אדלר - אוריה/מורן</t>
  </si>
  <si>
    <t>סהר - יתיר/קרן שמש</t>
  </si>
  <si>
    <t>זדה - רביב/מיכל</t>
  </si>
  <si>
    <t>יעקובי - יניב/הילה</t>
  </si>
  <si>
    <t>שליי - אילן/טהר</t>
  </si>
  <si>
    <t>גולני - מעין/אורית</t>
  </si>
  <si>
    <t>רפפורט - אביב/ענת</t>
  </si>
  <si>
    <t>חורין - גלעד/ספיר</t>
  </si>
  <si>
    <t>מאיר - נתן/חן</t>
  </si>
  <si>
    <t>ווינטראוב - אורן נחמן/קרן</t>
  </si>
  <si>
    <t>כרמל - אלעד/מיכל</t>
  </si>
  <si>
    <t>אנגלשטיין - דיו נויה</t>
  </si>
  <si>
    <t>קלוגמן - ראובן/חנית</t>
  </si>
  <si>
    <t>קרימרמן - מטיאס גב/אשרה</t>
  </si>
  <si>
    <t>נחליאלי - גיל-עד י/עדי</t>
  </si>
  <si>
    <t>מקלר - רן/עדי</t>
  </si>
  <si>
    <t>אלימלך - דור/רות</t>
  </si>
  <si>
    <t>חזן - גיא/נועה סול</t>
  </si>
  <si>
    <t>שואף - טל/איילת</t>
  </si>
  <si>
    <t>הרוש - ניר/רינת</t>
  </si>
  <si>
    <t>בקון מזור - דגן/הגר</t>
  </si>
  <si>
    <t>בקון - דקל/מור</t>
  </si>
  <si>
    <t>אוזרסקי - ודים/ירדן</t>
  </si>
  <si>
    <t>יונקמן - נעם/פלג</t>
  </si>
  <si>
    <t>משפחה</t>
  </si>
  <si>
    <t>מונה</t>
  </si>
  <si>
    <t>מפתח</t>
  </si>
  <si>
    <t>סוג תפקיד</t>
  </si>
  <si>
    <t>הסעה</t>
  </si>
  <si>
    <t>רכב</t>
  </si>
  <si>
    <t>מספר הסעות</t>
  </si>
  <si>
    <t>תאריך 1</t>
  </si>
  <si>
    <t>תאריך 2</t>
  </si>
  <si>
    <t>תאריך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</si>
</sst>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2" customWidth="1"/>
    <col min="2" max="3" width="10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s="2" t="s">
        <v>20</v>
      </c>
      <c r="B4" s="2" t="s">
        <v>8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>
      <c r="A5" s="2" t="s">
        <v>25</v>
      </c>
      <c r="B5" s="2" t="s">
        <v>15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>
      <c r="A6" s="2" t="s">
        <v>30</v>
      </c>
      <c r="B6" s="2" t="s">
        <v>8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>
      <c r="A7" s="2" t="s">
        <v>35</v>
      </c>
      <c r="B7" s="2" t="s">
        <v>8</v>
      </c>
      <c r="C7" s="2" t="s">
        <v>9</v>
      </c>
      <c r="D7" s="2" t="s">
        <v>36</v>
      </c>
      <c r="E7" s="2" t="s">
        <v>37</v>
      </c>
      <c r="F7" s="2" t="s">
        <v>26</v>
      </c>
      <c r="G7" s="2" t="s">
        <v>38</v>
      </c>
    </row>
    <row r="8" spans="1:7">
      <c r="A8" s="2" t="s">
        <v>39</v>
      </c>
      <c r="B8" s="2" t="s">
        <v>15</v>
      </c>
      <c r="C8" s="2" t="s">
        <v>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>
      <c r="A9" s="2" t="s">
        <v>44</v>
      </c>
      <c r="B9" s="2" t="s">
        <v>15</v>
      </c>
      <c r="C9" s="2" t="s">
        <v>9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>
      <c r="A10" s="2" t="s">
        <v>49</v>
      </c>
      <c r="B10" s="2" t="s">
        <v>15</v>
      </c>
      <c r="C10" s="2" t="s">
        <v>9</v>
      </c>
      <c r="D10" s="2" t="s">
        <v>50</v>
      </c>
      <c r="E10" s="2" t="s">
        <v>51</v>
      </c>
      <c r="F10" s="2" t="s">
        <v>52</v>
      </c>
      <c r="G10" s="2" t="s">
        <v>51</v>
      </c>
    </row>
    <row r="11" spans="1:7">
      <c r="A11" s="2" t="s">
        <v>53</v>
      </c>
      <c r="B11" s="2" t="s">
        <v>8</v>
      </c>
      <c r="C11" s="2" t="s">
        <v>9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>
      <c r="A12" s="2" t="s">
        <v>58</v>
      </c>
      <c r="B12" s="2" t="s">
        <v>15</v>
      </c>
      <c r="C12" s="2" t="s">
        <v>9</v>
      </c>
      <c r="D12" s="2" t="s">
        <v>59</v>
      </c>
      <c r="E12" s="2" t="s">
        <v>60</v>
      </c>
      <c r="F12" s="2" t="s">
        <v>23</v>
      </c>
      <c r="G12" s="2" t="s">
        <v>61</v>
      </c>
    </row>
    <row r="13" spans="1:7">
      <c r="A13" s="2" t="s">
        <v>62</v>
      </c>
      <c r="B13" s="2" t="s">
        <v>15</v>
      </c>
      <c r="C13" s="2" t="s">
        <v>9</v>
      </c>
      <c r="D13" s="2" t="s">
        <v>63</v>
      </c>
      <c r="E13" s="2" t="s">
        <v>64</v>
      </c>
      <c r="F13" s="2" t="s">
        <v>65</v>
      </c>
      <c r="G13" s="2" t="s">
        <v>66</v>
      </c>
    </row>
    <row r="14" spans="1:7">
      <c r="A14" s="2" t="s">
        <v>67</v>
      </c>
      <c r="B14" s="2" t="s">
        <v>8</v>
      </c>
      <c r="C14" s="2" t="s">
        <v>9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1:7">
      <c r="A15" s="2" t="s">
        <v>72</v>
      </c>
      <c r="B15" s="2" t="s">
        <v>8</v>
      </c>
      <c r="C15" s="2" t="s">
        <v>9</v>
      </c>
      <c r="D15" s="2" t="s">
        <v>73</v>
      </c>
      <c r="E15" s="2" t="s">
        <v>74</v>
      </c>
      <c r="F15" s="2" t="s">
        <v>75</v>
      </c>
      <c r="G15" s="2" t="s">
        <v>76</v>
      </c>
    </row>
    <row r="16" spans="1:7">
      <c r="A16" s="2" t="s">
        <v>77</v>
      </c>
      <c r="B16" s="2" t="s">
        <v>8</v>
      </c>
      <c r="C16" s="2" t="s">
        <v>9</v>
      </c>
      <c r="D16" s="2" t="s">
        <v>78</v>
      </c>
      <c r="E16" s="2" t="s">
        <v>79</v>
      </c>
      <c r="F16" s="2" t="s">
        <v>80</v>
      </c>
      <c r="G16" s="2" t="s">
        <v>81</v>
      </c>
    </row>
    <row r="17" spans="1:7">
      <c r="A17" s="2" t="s">
        <v>82</v>
      </c>
      <c r="B17" s="2" t="s">
        <v>15</v>
      </c>
      <c r="C17" s="2" t="s">
        <v>9</v>
      </c>
      <c r="D17" s="2" t="s">
        <v>83</v>
      </c>
      <c r="E17" s="2" t="s">
        <v>84</v>
      </c>
      <c r="F17" s="2" t="s">
        <v>85</v>
      </c>
      <c r="G17" s="2" t="s">
        <v>86</v>
      </c>
    </row>
    <row r="18" spans="1:7">
      <c r="A18" s="2" t="s">
        <v>87</v>
      </c>
      <c r="B18" s="2" t="s">
        <v>15</v>
      </c>
      <c r="C18" s="2" t="s">
        <v>9</v>
      </c>
      <c r="D18" s="2" t="s">
        <v>88</v>
      </c>
      <c r="E18" s="2" t="s">
        <v>89</v>
      </c>
      <c r="F18" s="2" t="s">
        <v>90</v>
      </c>
      <c r="G18" s="2" t="s">
        <v>91</v>
      </c>
    </row>
    <row r="19" spans="1:7">
      <c r="A19" s="2" t="s">
        <v>92</v>
      </c>
      <c r="B19" s="2" t="s">
        <v>8</v>
      </c>
      <c r="C19" s="2" t="s">
        <v>9</v>
      </c>
      <c r="D19" s="2" t="s">
        <v>93</v>
      </c>
      <c r="E19" s="2" t="s">
        <v>94</v>
      </c>
      <c r="F19" s="2" t="s">
        <v>95</v>
      </c>
      <c r="G19" s="2" t="s">
        <v>96</v>
      </c>
    </row>
    <row r="20" spans="1:7">
      <c r="A20" s="2" t="s">
        <v>97</v>
      </c>
      <c r="B20" s="2" t="s">
        <v>8</v>
      </c>
      <c r="C20" s="2" t="s">
        <v>9</v>
      </c>
      <c r="D20" s="2" t="s">
        <v>98</v>
      </c>
      <c r="E20" s="2" t="s">
        <v>99</v>
      </c>
      <c r="F20" s="2" t="s">
        <v>23</v>
      </c>
      <c r="G20" s="2" t="s">
        <v>100</v>
      </c>
    </row>
    <row r="21" spans="1:7">
      <c r="A21" s="2" t="s">
        <v>101</v>
      </c>
      <c r="B21" s="2" t="s">
        <v>15</v>
      </c>
      <c r="C21" s="2" t="s">
        <v>9</v>
      </c>
      <c r="D21" s="2" t="s">
        <v>102</v>
      </c>
      <c r="E21" s="2"/>
      <c r="F21" s="2" t="s">
        <v>103</v>
      </c>
      <c r="G21" s="2" t="s">
        <v>104</v>
      </c>
    </row>
    <row r="22" spans="1:7">
      <c r="A22" s="2" t="s">
        <v>105</v>
      </c>
      <c r="B22" s="2" t="s">
        <v>15</v>
      </c>
      <c r="C22" s="2" t="s">
        <v>9</v>
      </c>
      <c r="D22" s="2" t="s">
        <v>106</v>
      </c>
      <c r="E22" s="2" t="s">
        <v>107</v>
      </c>
      <c r="F22" s="2" t="s">
        <v>108</v>
      </c>
      <c r="G22" s="2" t="s">
        <v>109</v>
      </c>
    </row>
    <row r="23" spans="1:7">
      <c r="A23" s="2" t="s">
        <v>110</v>
      </c>
      <c r="B23" s="2" t="s">
        <v>15</v>
      </c>
      <c r="C23" s="2" t="s">
        <v>9</v>
      </c>
      <c r="D23" s="2" t="s">
        <v>111</v>
      </c>
      <c r="E23" s="2" t="s">
        <v>112</v>
      </c>
      <c r="F23" s="2" t="s">
        <v>113</v>
      </c>
      <c r="G23" s="2" t="s">
        <v>114</v>
      </c>
    </row>
    <row r="24" spans="1:7">
      <c r="A24" s="2" t="s">
        <v>115</v>
      </c>
      <c r="B24" s="2" t="s">
        <v>8</v>
      </c>
      <c r="C24" s="2" t="s">
        <v>9</v>
      </c>
      <c r="D24" s="2" t="s">
        <v>116</v>
      </c>
      <c r="E24" s="2" t="s">
        <v>117</v>
      </c>
      <c r="F24" s="2" t="s">
        <v>80</v>
      </c>
      <c r="G24" s="2" t="s">
        <v>118</v>
      </c>
    </row>
    <row r="25" spans="1:7">
      <c r="A25" s="2" t="s">
        <v>119</v>
      </c>
      <c r="B25" s="2" t="s">
        <v>8</v>
      </c>
      <c r="C25" s="2" t="s">
        <v>9</v>
      </c>
      <c r="D25" s="2" t="s">
        <v>120</v>
      </c>
      <c r="E25" s="2" t="s">
        <v>121</v>
      </c>
      <c r="F25" s="2" t="s">
        <v>122</v>
      </c>
      <c r="G25" s="2" t="s">
        <v>123</v>
      </c>
    </row>
    <row r="26" spans="1:7">
      <c r="A26" s="2" t="s">
        <v>124</v>
      </c>
      <c r="B26" s="2" t="s">
        <v>8</v>
      </c>
      <c r="C26" s="2" t="s">
        <v>9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spans="1:7">
      <c r="A27" s="2" t="s">
        <v>129</v>
      </c>
      <c r="B27" s="2" t="s">
        <v>130</v>
      </c>
      <c r="C27" s="2" t="s">
        <v>9</v>
      </c>
      <c r="D27" s="2" t="s">
        <v>131</v>
      </c>
      <c r="E27" s="2" t="s">
        <v>132</v>
      </c>
      <c r="F27" s="2"/>
      <c r="G27" s="2"/>
    </row>
    <row r="28" spans="1:7">
      <c r="A28" s="2" t="s">
        <v>133</v>
      </c>
      <c r="B28" s="2" t="s">
        <v>130</v>
      </c>
      <c r="C28" s="2" t="s">
        <v>9</v>
      </c>
      <c r="D28" s="2" t="s">
        <v>134</v>
      </c>
      <c r="E28" s="2" t="s">
        <v>135</v>
      </c>
      <c r="F28" s="2" t="s">
        <v>136</v>
      </c>
      <c r="G28" s="2" t="s">
        <v>135</v>
      </c>
    </row>
    <row r="29" spans="1:7">
      <c r="A29" s="2" t="s">
        <v>137</v>
      </c>
      <c r="B29" s="2" t="s">
        <v>130</v>
      </c>
      <c r="C29" s="2" t="s">
        <v>9</v>
      </c>
      <c r="D29" s="2" t="s">
        <v>138</v>
      </c>
      <c r="E29" s="2" t="s">
        <v>139</v>
      </c>
      <c r="F29" s="2" t="s">
        <v>140</v>
      </c>
      <c r="G29" s="2" t="s">
        <v>141</v>
      </c>
    </row>
    <row r="30" spans="1:7">
      <c r="A30" s="2" t="s">
        <v>142</v>
      </c>
      <c r="B30" s="2" t="s">
        <v>130</v>
      </c>
      <c r="C30" s="2" t="s">
        <v>9</v>
      </c>
      <c r="D30" s="2" t="s">
        <v>143</v>
      </c>
      <c r="E30" s="2" t="s">
        <v>144</v>
      </c>
      <c r="F30" s="2" t="s">
        <v>145</v>
      </c>
      <c r="G30" s="2" t="s">
        <v>146</v>
      </c>
    </row>
    <row r="31" spans="1:7">
      <c r="A31" s="2" t="s">
        <v>147</v>
      </c>
      <c r="B31" s="2" t="s">
        <v>130</v>
      </c>
      <c r="C31" s="2" t="s">
        <v>9</v>
      </c>
      <c r="D31" s="2" t="s">
        <v>148</v>
      </c>
      <c r="E31" s="2" t="s">
        <v>149</v>
      </c>
      <c r="F31" s="2" t="s">
        <v>150</v>
      </c>
      <c r="G31" s="2" t="s">
        <v>151</v>
      </c>
    </row>
    <row r="32" spans="1:7">
      <c r="A32" s="2" t="s">
        <v>152</v>
      </c>
      <c r="B32" s="2" t="s">
        <v>130</v>
      </c>
      <c r="C32" s="2" t="s">
        <v>9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spans="1:7">
      <c r="A33" s="2" t="s">
        <v>157</v>
      </c>
      <c r="B33" s="2" t="s">
        <v>130</v>
      </c>
      <c r="C33" s="2" t="s">
        <v>9</v>
      </c>
      <c r="D33" s="2" t="s">
        <v>158</v>
      </c>
      <c r="E33" s="2" t="s">
        <v>159</v>
      </c>
      <c r="F33" s="2" t="s">
        <v>160</v>
      </c>
      <c r="G33" s="2" t="s">
        <v>161</v>
      </c>
    </row>
    <row r="34" spans="1:7">
      <c r="A34" s="2" t="s">
        <v>162</v>
      </c>
      <c r="B34" s="2" t="s">
        <v>130</v>
      </c>
      <c r="C34" s="2" t="s">
        <v>9</v>
      </c>
      <c r="D34" s="2" t="s">
        <v>163</v>
      </c>
      <c r="E34" s="2" t="s">
        <v>164</v>
      </c>
      <c r="F34" s="2" t="s">
        <v>165</v>
      </c>
      <c r="G34" s="2" t="s">
        <v>166</v>
      </c>
    </row>
    <row r="35" spans="1:7">
      <c r="A35" s="2" t="s">
        <v>167</v>
      </c>
      <c r="B35" s="2" t="s">
        <v>130</v>
      </c>
      <c r="C35" s="2" t="s">
        <v>9</v>
      </c>
      <c r="D35" s="2" t="s">
        <v>168</v>
      </c>
      <c r="E35" s="2" t="s">
        <v>169</v>
      </c>
      <c r="F35" s="2" t="s">
        <v>170</v>
      </c>
      <c r="G35" s="2" t="s">
        <v>171</v>
      </c>
    </row>
    <row r="36" spans="1:7">
      <c r="A36" s="2" t="s">
        <v>172</v>
      </c>
      <c r="B36" s="2" t="s">
        <v>173</v>
      </c>
      <c r="C36" s="2" t="s">
        <v>9</v>
      </c>
      <c r="D36" s="2" t="s">
        <v>174</v>
      </c>
      <c r="E36" s="2" t="s">
        <v>175</v>
      </c>
      <c r="F36" s="2" t="s">
        <v>176</v>
      </c>
      <c r="G36" s="2" t="s">
        <v>177</v>
      </c>
    </row>
    <row r="37" spans="1:7">
      <c r="A37" s="2" t="s">
        <v>178</v>
      </c>
      <c r="B37" s="2" t="s">
        <v>173</v>
      </c>
      <c r="C37" s="2" t="s">
        <v>9</v>
      </c>
      <c r="D37" s="2" t="s">
        <v>179</v>
      </c>
      <c r="E37" s="2" t="s">
        <v>180</v>
      </c>
      <c r="F37" s="2" t="s">
        <v>181</v>
      </c>
      <c r="G37" s="2" t="s">
        <v>182</v>
      </c>
    </row>
    <row r="38" spans="1:7">
      <c r="A38" s="2" t="s">
        <v>183</v>
      </c>
      <c r="B38" s="2" t="s">
        <v>173</v>
      </c>
      <c r="C38" s="2" t="s">
        <v>9</v>
      </c>
      <c r="D38" s="2" t="s">
        <v>184</v>
      </c>
      <c r="E38" s="2" t="s">
        <v>185</v>
      </c>
      <c r="F38" s="2" t="s">
        <v>186</v>
      </c>
      <c r="G38" s="2" t="s">
        <v>187</v>
      </c>
    </row>
    <row r="39" spans="1:7">
      <c r="A39" s="2" t="s">
        <v>188</v>
      </c>
      <c r="B39" s="2" t="s">
        <v>173</v>
      </c>
      <c r="C39" s="2" t="s">
        <v>9</v>
      </c>
      <c r="D39" s="2" t="s">
        <v>189</v>
      </c>
      <c r="E39" s="2" t="s">
        <v>190</v>
      </c>
      <c r="F39" s="2" t="s">
        <v>191</v>
      </c>
      <c r="G39" s="2" t="s">
        <v>192</v>
      </c>
    </row>
    <row r="40" spans="1:7">
      <c r="A40" s="2" t="s">
        <v>193</v>
      </c>
      <c r="B40" s="2" t="s">
        <v>173</v>
      </c>
      <c r="C40" s="2" t="s">
        <v>9</v>
      </c>
      <c r="D40" s="2" t="s">
        <v>194</v>
      </c>
      <c r="E40" s="2" t="s">
        <v>195</v>
      </c>
      <c r="F40" s="2" t="s">
        <v>136</v>
      </c>
      <c r="G40" s="2" t="s">
        <v>196</v>
      </c>
    </row>
    <row r="41" spans="1:7">
      <c r="A41" s="2" t="s">
        <v>197</v>
      </c>
      <c r="B41" s="2" t="s">
        <v>173</v>
      </c>
      <c r="C41" s="2" t="s">
        <v>9</v>
      </c>
      <c r="D41" s="2" t="s">
        <v>198</v>
      </c>
      <c r="E41" s="2" t="s">
        <v>199</v>
      </c>
      <c r="F41" s="2" t="s">
        <v>200</v>
      </c>
      <c r="G41" s="2" t="s">
        <v>201</v>
      </c>
    </row>
    <row r="42" spans="1:7">
      <c r="A42" s="2" t="s">
        <v>202</v>
      </c>
      <c r="B42" s="2" t="s">
        <v>173</v>
      </c>
      <c r="C42" s="2" t="s">
        <v>9</v>
      </c>
      <c r="D42" s="2" t="s">
        <v>203</v>
      </c>
      <c r="E42" s="2" t="s">
        <v>204</v>
      </c>
      <c r="F42" s="2" t="s">
        <v>205</v>
      </c>
      <c r="G42" s="2" t="s">
        <v>206</v>
      </c>
    </row>
    <row r="43" spans="1:7">
      <c r="A43" s="2" t="s">
        <v>207</v>
      </c>
      <c r="B43" s="2" t="s">
        <v>173</v>
      </c>
      <c r="C43" s="2" t="s">
        <v>9</v>
      </c>
      <c r="D43" s="2" t="s">
        <v>208</v>
      </c>
      <c r="E43" s="2" t="s">
        <v>209</v>
      </c>
      <c r="F43" s="2" t="s">
        <v>210</v>
      </c>
      <c r="G43" s="2" t="s">
        <v>211</v>
      </c>
    </row>
    <row r="44" spans="1:7">
      <c r="A44" s="2" t="s">
        <v>212</v>
      </c>
      <c r="B44" s="2" t="s">
        <v>173</v>
      </c>
      <c r="C44" s="2" t="s">
        <v>9</v>
      </c>
      <c r="D44" s="2" t="s">
        <v>213</v>
      </c>
      <c r="E44" s="2" t="s">
        <v>214</v>
      </c>
      <c r="F44" s="2" t="s">
        <v>215</v>
      </c>
      <c r="G44" s="2" t="s">
        <v>216</v>
      </c>
    </row>
    <row r="45" spans="1:7">
      <c r="A45" s="2" t="s">
        <v>217</v>
      </c>
      <c r="B45" s="2" t="s">
        <v>173</v>
      </c>
      <c r="C45" s="2" t="s">
        <v>9</v>
      </c>
      <c r="D45" s="2" t="s">
        <v>218</v>
      </c>
      <c r="E45" s="2" t="s">
        <v>219</v>
      </c>
      <c r="F45" s="2" t="s">
        <v>220</v>
      </c>
      <c r="G45" s="2" t="s">
        <v>221</v>
      </c>
    </row>
    <row r="46" spans="1:7">
      <c r="A46" s="2" t="s">
        <v>222</v>
      </c>
      <c r="B46" s="2" t="s">
        <v>223</v>
      </c>
      <c r="C46" s="2" t="s">
        <v>9</v>
      </c>
      <c r="D46" s="2" t="s">
        <v>21</v>
      </c>
      <c r="E46" s="2" t="s">
        <v>22</v>
      </c>
      <c r="F46" s="2" t="s">
        <v>23</v>
      </c>
      <c r="G46" s="2" t="s">
        <v>24</v>
      </c>
    </row>
    <row r="47" spans="1:7">
      <c r="A47" s="2" t="s">
        <v>224</v>
      </c>
      <c r="B47" s="2" t="s">
        <v>223</v>
      </c>
      <c r="C47" s="2" t="s">
        <v>9</v>
      </c>
      <c r="D47" s="2" t="s">
        <v>40</v>
      </c>
      <c r="E47" s="2" t="s">
        <v>41</v>
      </c>
      <c r="F47" s="2" t="s">
        <v>42</v>
      </c>
      <c r="G47" s="2" t="s">
        <v>43</v>
      </c>
    </row>
    <row r="48" spans="1:7">
      <c r="A48" s="2" t="s">
        <v>225</v>
      </c>
      <c r="B48" s="2" t="s">
        <v>223</v>
      </c>
      <c r="C48" s="2" t="s">
        <v>9</v>
      </c>
      <c r="D48" s="2" t="s">
        <v>226</v>
      </c>
      <c r="E48" s="2" t="s">
        <v>227</v>
      </c>
      <c r="F48" s="2" t="s">
        <v>228</v>
      </c>
      <c r="G48" s="2" t="s">
        <v>229</v>
      </c>
    </row>
    <row r="49" spans="1:7">
      <c r="A49" s="2" t="s">
        <v>230</v>
      </c>
      <c r="B49" s="2" t="s">
        <v>223</v>
      </c>
      <c r="C49" s="2" t="s">
        <v>9</v>
      </c>
      <c r="D49" s="2" t="s">
        <v>231</v>
      </c>
      <c r="E49" s="2" t="s">
        <v>232</v>
      </c>
      <c r="F49" s="2" t="s">
        <v>233</v>
      </c>
      <c r="G49" s="2" t="s">
        <v>234</v>
      </c>
    </row>
    <row r="50" spans="1:7">
      <c r="A50" s="2" t="s">
        <v>235</v>
      </c>
      <c r="B50" s="2" t="s">
        <v>223</v>
      </c>
      <c r="C50" s="2" t="s">
        <v>9</v>
      </c>
      <c r="D50" s="2" t="s">
        <v>236</v>
      </c>
      <c r="E50" s="2"/>
      <c r="F50" s="2" t="s">
        <v>237</v>
      </c>
      <c r="G50" s="2" t="s">
        <v>238</v>
      </c>
    </row>
    <row r="51" spans="1:7">
      <c r="A51" s="2" t="s">
        <v>239</v>
      </c>
      <c r="B51" s="2" t="s">
        <v>223</v>
      </c>
      <c r="C51" s="2" t="s">
        <v>9</v>
      </c>
      <c r="D51" s="2" t="s">
        <v>240</v>
      </c>
      <c r="E51" s="2" t="s">
        <v>241</v>
      </c>
      <c r="F51" s="2" t="s">
        <v>191</v>
      </c>
      <c r="G51" s="2" t="s">
        <v>242</v>
      </c>
    </row>
    <row r="52" spans="1:7">
      <c r="A52" s="2" t="s">
        <v>243</v>
      </c>
      <c r="B52" s="2" t="s">
        <v>223</v>
      </c>
      <c r="C52" s="2" t="s">
        <v>9</v>
      </c>
      <c r="D52" s="2" t="s">
        <v>244</v>
      </c>
      <c r="E52" s="2" t="s">
        <v>245</v>
      </c>
      <c r="F52" s="2" t="s">
        <v>246</v>
      </c>
      <c r="G52" s="2" t="s">
        <v>247</v>
      </c>
    </row>
    <row r="53" spans="1:7">
      <c r="A53" s="2" t="s">
        <v>248</v>
      </c>
      <c r="B53" s="2" t="s">
        <v>249</v>
      </c>
      <c r="C53" s="2" t="s">
        <v>9</v>
      </c>
      <c r="D53" s="2" t="s">
        <v>16</v>
      </c>
      <c r="E53" s="2" t="s">
        <v>17</v>
      </c>
      <c r="F53" s="2" t="s">
        <v>18</v>
      </c>
      <c r="G53" s="2" t="s">
        <v>19</v>
      </c>
    </row>
    <row r="54" spans="1:7">
      <c r="A54" s="2" t="s">
        <v>250</v>
      </c>
      <c r="B54" s="2" t="s">
        <v>249</v>
      </c>
      <c r="C54" s="2" t="s">
        <v>9</v>
      </c>
      <c r="D54" s="2" t="s">
        <v>251</v>
      </c>
      <c r="E54" s="2" t="s">
        <v>252</v>
      </c>
      <c r="F54" s="2" t="s">
        <v>191</v>
      </c>
      <c r="G54" s="2" t="s">
        <v>253</v>
      </c>
    </row>
    <row r="55" spans="1:7">
      <c r="A55" s="2" t="s">
        <v>254</v>
      </c>
      <c r="B55" s="2" t="s">
        <v>249</v>
      </c>
      <c r="C55" s="2" t="s">
        <v>9</v>
      </c>
      <c r="D55" s="2" t="s">
        <v>18</v>
      </c>
      <c r="E55" s="2" t="s">
        <v>255</v>
      </c>
      <c r="F55" s="2" t="s">
        <v>256</v>
      </c>
      <c r="G55" s="2" t="s">
        <v>255</v>
      </c>
    </row>
    <row r="56" spans="1:7">
      <c r="A56" s="2" t="s">
        <v>257</v>
      </c>
      <c r="B56" s="2" t="s">
        <v>249</v>
      </c>
      <c r="C56" s="2" t="s">
        <v>9</v>
      </c>
      <c r="D56" s="2" t="s">
        <v>258</v>
      </c>
      <c r="E56" s="2" t="s">
        <v>259</v>
      </c>
      <c r="F56" s="2" t="s">
        <v>260</v>
      </c>
      <c r="G56" s="2" t="s">
        <v>261</v>
      </c>
    </row>
    <row r="57" spans="1:7">
      <c r="A57" s="2" t="s">
        <v>262</v>
      </c>
      <c r="B57" s="2" t="s">
        <v>249</v>
      </c>
      <c r="C57" s="2" t="s">
        <v>9</v>
      </c>
      <c r="D57" s="2" t="s">
        <v>138</v>
      </c>
      <c r="E57" s="2" t="s">
        <v>139</v>
      </c>
      <c r="F57" s="2" t="s">
        <v>140</v>
      </c>
      <c r="G57" s="2" t="s">
        <v>141</v>
      </c>
    </row>
    <row r="58" spans="1:7">
      <c r="A58" s="2" t="s">
        <v>263</v>
      </c>
      <c r="B58" s="2" t="s">
        <v>249</v>
      </c>
      <c r="C58" s="2" t="s">
        <v>9</v>
      </c>
      <c r="D58" s="2" t="s">
        <v>40</v>
      </c>
      <c r="E58" s="2" t="s">
        <v>41</v>
      </c>
      <c r="F58" s="2" t="s">
        <v>42</v>
      </c>
      <c r="G58" s="2" t="s">
        <v>43</v>
      </c>
    </row>
    <row r="59" spans="1:7">
      <c r="A59" s="2" t="s">
        <v>264</v>
      </c>
      <c r="B59" s="2" t="s">
        <v>249</v>
      </c>
      <c r="C59" s="2" t="s">
        <v>9</v>
      </c>
      <c r="D59" s="2" t="s">
        <v>265</v>
      </c>
      <c r="E59" s="2" t="s">
        <v>266</v>
      </c>
      <c r="F59" s="2" t="s">
        <v>23</v>
      </c>
      <c r="G59" s="2" t="s">
        <v>266</v>
      </c>
    </row>
    <row r="60" spans="1:7">
      <c r="A60" s="2" t="s">
        <v>267</v>
      </c>
      <c r="B60" s="2" t="s">
        <v>249</v>
      </c>
      <c r="C60" s="2" t="s">
        <v>9</v>
      </c>
      <c r="D60" s="2" t="s">
        <v>268</v>
      </c>
      <c r="E60" s="2" t="s">
        <v>269</v>
      </c>
      <c r="F60" s="2" t="s">
        <v>270</v>
      </c>
      <c r="G60" s="2" t="s">
        <v>271</v>
      </c>
    </row>
    <row r="61" spans="1:7">
      <c r="A61" s="2" t="s">
        <v>272</v>
      </c>
      <c r="B61" s="2" t="s">
        <v>249</v>
      </c>
      <c r="C61" s="2" t="s">
        <v>9</v>
      </c>
      <c r="D61" s="2" t="s">
        <v>194</v>
      </c>
      <c r="E61" s="2" t="s">
        <v>273</v>
      </c>
      <c r="F61" s="2" t="s">
        <v>274</v>
      </c>
      <c r="G61" s="2" t="s">
        <v>275</v>
      </c>
    </row>
    <row r="62" spans="1:7">
      <c r="A62" s="2" t="s">
        <v>276</v>
      </c>
      <c r="B62" s="2" t="s">
        <v>249</v>
      </c>
      <c r="C62" s="2" t="s">
        <v>9</v>
      </c>
      <c r="D62" s="2" t="s">
        <v>120</v>
      </c>
      <c r="E62" s="2" t="s">
        <v>121</v>
      </c>
      <c r="F62" s="2" t="s">
        <v>122</v>
      </c>
      <c r="G62" s="2" t="s">
        <v>123</v>
      </c>
    </row>
    <row r="63" spans="1:7">
      <c r="A63" s="2" t="s">
        <v>277</v>
      </c>
      <c r="B63" s="2" t="s">
        <v>278</v>
      </c>
      <c r="C63" s="2" t="s">
        <v>9</v>
      </c>
      <c r="D63" s="2" t="s">
        <v>279</v>
      </c>
      <c r="E63" s="2" t="s">
        <v>280</v>
      </c>
      <c r="F63" s="2" t="s">
        <v>131</v>
      </c>
      <c r="G63" s="2" t="s">
        <v>281</v>
      </c>
    </row>
    <row r="64" spans="1:7">
      <c r="A64" s="2" t="s">
        <v>282</v>
      </c>
      <c r="B64" s="2" t="s">
        <v>278</v>
      </c>
      <c r="C64" s="2" t="s">
        <v>9</v>
      </c>
      <c r="D64" s="2" t="s">
        <v>31</v>
      </c>
      <c r="E64" s="2" t="s">
        <v>32</v>
      </c>
      <c r="F64" s="2" t="s">
        <v>33</v>
      </c>
      <c r="G64" s="2" t="s">
        <v>34</v>
      </c>
    </row>
    <row r="65" spans="1:7">
      <c r="A65" s="2" t="s">
        <v>283</v>
      </c>
      <c r="B65" s="2" t="s">
        <v>278</v>
      </c>
      <c r="C65" s="2" t="s">
        <v>9</v>
      </c>
      <c r="D65" s="2" t="s">
        <v>73</v>
      </c>
      <c r="E65" s="2" t="s">
        <v>284</v>
      </c>
      <c r="F65" s="2" t="s">
        <v>285</v>
      </c>
      <c r="G65" s="2" t="s">
        <v>286</v>
      </c>
    </row>
    <row r="66" spans="1:7">
      <c r="A66" s="2" t="s">
        <v>287</v>
      </c>
      <c r="B66" s="2" t="s">
        <v>278</v>
      </c>
      <c r="C66" s="2" t="s">
        <v>9</v>
      </c>
      <c r="D66" s="2" t="s">
        <v>288</v>
      </c>
      <c r="E66" s="2" t="s">
        <v>289</v>
      </c>
      <c r="F66" s="2" t="s">
        <v>290</v>
      </c>
      <c r="G66" s="2" t="s">
        <v>291</v>
      </c>
    </row>
    <row r="67" spans="1:7">
      <c r="A67" s="2" t="s">
        <v>292</v>
      </c>
      <c r="B67" s="2" t="s">
        <v>278</v>
      </c>
      <c r="C67" s="2" t="s">
        <v>9</v>
      </c>
      <c r="D67" s="2" t="s">
        <v>293</v>
      </c>
      <c r="E67" s="2" t="s">
        <v>294</v>
      </c>
      <c r="F67" s="2" t="s">
        <v>23</v>
      </c>
      <c r="G67" s="2" t="s">
        <v>295</v>
      </c>
    </row>
    <row r="68" spans="1:7">
      <c r="A68" s="2" t="s">
        <v>296</v>
      </c>
      <c r="B68" s="2" t="s">
        <v>278</v>
      </c>
      <c r="C68" s="2" t="s">
        <v>9</v>
      </c>
      <c r="D68" s="2" t="s">
        <v>297</v>
      </c>
      <c r="E68" s="2" t="s">
        <v>298</v>
      </c>
      <c r="F68" s="2" t="s">
        <v>299</v>
      </c>
      <c r="G68" s="2" t="s">
        <v>300</v>
      </c>
    </row>
    <row r="69" spans="1:7">
      <c r="A69" s="2" t="s">
        <v>301</v>
      </c>
      <c r="B69" s="2" t="s">
        <v>278</v>
      </c>
      <c r="C69" s="2" t="s">
        <v>9</v>
      </c>
      <c r="D69" s="2" t="s">
        <v>148</v>
      </c>
      <c r="E69" s="2" t="s">
        <v>149</v>
      </c>
      <c r="F69" s="2" t="s">
        <v>150</v>
      </c>
      <c r="G69" s="2" t="s">
        <v>151</v>
      </c>
    </row>
    <row r="70" spans="1:7">
      <c r="A70" s="2" t="s">
        <v>302</v>
      </c>
      <c r="B70" s="2" t="s">
        <v>278</v>
      </c>
      <c r="C70" s="2" t="s">
        <v>9</v>
      </c>
      <c r="D70" s="2" t="s">
        <v>153</v>
      </c>
      <c r="E70" s="2" t="s">
        <v>154</v>
      </c>
      <c r="F70" s="2" t="s">
        <v>155</v>
      </c>
      <c r="G70" s="2" t="s">
        <v>156</v>
      </c>
    </row>
    <row r="71" spans="1:7">
      <c r="A71" s="2" t="s">
        <v>303</v>
      </c>
      <c r="B71" s="2" t="s">
        <v>278</v>
      </c>
      <c r="C71" s="2" t="s">
        <v>9</v>
      </c>
      <c r="D71" s="2" t="s">
        <v>98</v>
      </c>
      <c r="E71" s="2" t="s">
        <v>304</v>
      </c>
      <c r="F71" s="2" t="s">
        <v>305</v>
      </c>
      <c r="G71" s="2" t="s">
        <v>306</v>
      </c>
    </row>
    <row r="72" spans="1:7">
      <c r="A72" s="2" t="s">
        <v>307</v>
      </c>
      <c r="B72" s="2" t="s">
        <v>278</v>
      </c>
      <c r="C72" s="2" t="s">
        <v>9</v>
      </c>
      <c r="D72" s="2" t="s">
        <v>111</v>
      </c>
      <c r="E72" s="2" t="s">
        <v>112</v>
      </c>
      <c r="F72" s="2" t="s">
        <v>113</v>
      </c>
      <c r="G72" s="2" t="s">
        <v>114</v>
      </c>
    </row>
    <row r="73" spans="1:7">
      <c r="A73" s="2" t="s">
        <v>308</v>
      </c>
      <c r="B73" s="2" t="s">
        <v>278</v>
      </c>
      <c r="C73" s="2" t="s">
        <v>9</v>
      </c>
      <c r="D73" s="2" t="s">
        <v>309</v>
      </c>
      <c r="E73" s="2" t="s">
        <v>310</v>
      </c>
      <c r="F73" s="2" t="s">
        <v>136</v>
      </c>
      <c r="G73" s="2" t="s">
        <v>311</v>
      </c>
    </row>
    <row r="74" spans="1:7">
      <c r="A74" s="2" t="s">
        <v>312</v>
      </c>
      <c r="B74" s="2" t="s">
        <v>313</v>
      </c>
      <c r="C74" s="2" t="s">
        <v>9</v>
      </c>
      <c r="D74" s="2" t="s">
        <v>314</v>
      </c>
      <c r="E74" s="2" t="s">
        <v>315</v>
      </c>
      <c r="F74" s="2" t="s">
        <v>316</v>
      </c>
      <c r="G74" s="2" t="s">
        <v>317</v>
      </c>
    </row>
    <row r="75" spans="1:7">
      <c r="A75" s="2" t="s">
        <v>318</v>
      </c>
      <c r="B75" s="2" t="s">
        <v>313</v>
      </c>
      <c r="C75" s="2" t="s">
        <v>9</v>
      </c>
      <c r="D75" s="2" t="s">
        <v>319</v>
      </c>
      <c r="E75" s="2" t="s">
        <v>320</v>
      </c>
      <c r="F75" s="2" t="s">
        <v>321</v>
      </c>
      <c r="G75" s="2" t="s">
        <v>322</v>
      </c>
    </row>
    <row r="76" spans="1:7">
      <c r="A76" s="2" t="s">
        <v>323</v>
      </c>
      <c r="B76" s="2" t="s">
        <v>313</v>
      </c>
      <c r="C76" s="2" t="s">
        <v>9</v>
      </c>
      <c r="D76" s="2" t="s">
        <v>68</v>
      </c>
      <c r="E76" s="2" t="s">
        <v>69</v>
      </c>
      <c r="F76" s="2" t="s">
        <v>70</v>
      </c>
      <c r="G76" s="2" t="s">
        <v>71</v>
      </c>
    </row>
    <row r="77" spans="1:7">
      <c r="A77" s="2" t="s">
        <v>324</v>
      </c>
      <c r="B77" s="2" t="s">
        <v>313</v>
      </c>
      <c r="C77" s="2" t="s">
        <v>9</v>
      </c>
      <c r="D77" s="2" t="s">
        <v>325</v>
      </c>
      <c r="E77" s="2" t="s">
        <v>326</v>
      </c>
      <c r="F77" s="2" t="s">
        <v>327</v>
      </c>
      <c r="G77" s="2" t="s">
        <v>326</v>
      </c>
    </row>
    <row r="78" spans="1:7">
      <c r="A78" s="2" t="s">
        <v>328</v>
      </c>
      <c r="B78" s="2" t="s">
        <v>313</v>
      </c>
      <c r="C78" s="2" t="s">
        <v>9</v>
      </c>
      <c r="D78" s="2" t="s">
        <v>36</v>
      </c>
      <c r="E78" s="2" t="s">
        <v>329</v>
      </c>
      <c r="F78" s="2" t="s">
        <v>330</v>
      </c>
      <c r="G78" s="2" t="s">
        <v>331</v>
      </c>
    </row>
    <row r="79" spans="1:7">
      <c r="A79" s="2" t="s">
        <v>332</v>
      </c>
      <c r="B79" s="2" t="s">
        <v>313</v>
      </c>
      <c r="C79" s="2" t="s">
        <v>9</v>
      </c>
      <c r="D79" s="2" t="s">
        <v>83</v>
      </c>
      <c r="E79" s="2" t="s">
        <v>84</v>
      </c>
      <c r="F79" s="2" t="s">
        <v>85</v>
      </c>
      <c r="G79" s="2" t="s">
        <v>86</v>
      </c>
    </row>
    <row r="80" spans="1:7">
      <c r="A80" s="2" t="s">
        <v>333</v>
      </c>
      <c r="B80" s="2" t="s">
        <v>313</v>
      </c>
      <c r="C80" s="2" t="s">
        <v>9</v>
      </c>
      <c r="D80" s="2" t="s">
        <v>213</v>
      </c>
      <c r="E80" s="2" t="s">
        <v>214</v>
      </c>
      <c r="F80" s="2" t="s">
        <v>215</v>
      </c>
      <c r="G80" s="2" t="s">
        <v>216</v>
      </c>
    </row>
    <row r="81" spans="1:7">
      <c r="A81" s="2" t="s">
        <v>334</v>
      </c>
      <c r="B81" s="2" t="s">
        <v>313</v>
      </c>
      <c r="C81" s="2" t="s">
        <v>9</v>
      </c>
      <c r="D81" s="2" t="s">
        <v>236</v>
      </c>
      <c r="E81" s="2" t="s">
        <v>335</v>
      </c>
      <c r="F81" s="2" t="s">
        <v>237</v>
      </c>
      <c r="G81" s="2" t="s">
        <v>238</v>
      </c>
    </row>
    <row r="82" spans="1:7">
      <c r="A82" s="2" t="s">
        <v>336</v>
      </c>
      <c r="B82" s="2" t="s">
        <v>313</v>
      </c>
      <c r="C82" s="2" t="s">
        <v>9</v>
      </c>
      <c r="D82" s="2" t="s">
        <v>337</v>
      </c>
      <c r="E82" s="2" t="s">
        <v>338</v>
      </c>
      <c r="F82" s="2" t="s">
        <v>339</v>
      </c>
      <c r="G82" s="2" t="s">
        <v>340</v>
      </c>
    </row>
    <row r="83" spans="1:7">
      <c r="A83" s="2" t="s">
        <v>341</v>
      </c>
      <c r="B83" s="2" t="s">
        <v>313</v>
      </c>
      <c r="C83" s="2" t="s">
        <v>9</v>
      </c>
      <c r="D83" s="2" t="s">
        <v>342</v>
      </c>
      <c r="E83" s="2" t="s">
        <v>343</v>
      </c>
      <c r="F83" s="2" t="s">
        <v>344</v>
      </c>
      <c r="G83" s="2" t="s">
        <v>345</v>
      </c>
    </row>
    <row r="84" spans="1:7">
      <c r="A84" s="2" t="s">
        <v>346</v>
      </c>
      <c r="B84" s="2" t="s">
        <v>313</v>
      </c>
      <c r="C84" s="2" t="s">
        <v>9</v>
      </c>
      <c r="D84" s="2" t="s">
        <v>347</v>
      </c>
      <c r="E84" s="2" t="s">
        <v>348</v>
      </c>
      <c r="F84" s="2" t="s">
        <v>337</v>
      </c>
      <c r="G84" s="2" t="s">
        <v>349</v>
      </c>
    </row>
    <row r="85" spans="1:7">
      <c r="A85" s="2" t="s">
        <v>350</v>
      </c>
      <c r="B85" s="2" t="s">
        <v>313</v>
      </c>
      <c r="C85" s="2" t="s">
        <v>9</v>
      </c>
      <c r="D85" s="2" t="s">
        <v>337</v>
      </c>
      <c r="E85" s="2" t="s">
        <v>351</v>
      </c>
      <c r="F85" s="2" t="s">
        <v>352</v>
      </c>
      <c r="G85" s="2" t="s">
        <v>353</v>
      </c>
    </row>
    <row r="86" spans="1:7">
      <c r="A86" s="2" t="s">
        <v>354</v>
      </c>
      <c r="B86" s="2" t="s">
        <v>313</v>
      </c>
      <c r="C86" s="2" t="s">
        <v>9</v>
      </c>
      <c r="D86" s="2" t="s">
        <v>125</v>
      </c>
      <c r="E86" s="2" t="s">
        <v>126</v>
      </c>
      <c r="F86" s="2" t="s">
        <v>127</v>
      </c>
      <c r="G86" s="2" t="s">
        <v>128</v>
      </c>
    </row>
    <row r="87" spans="1:7">
      <c r="A87" s="2" t="s">
        <v>355</v>
      </c>
      <c r="B87" s="2" t="s">
        <v>356</v>
      </c>
      <c r="C87" s="2" t="s">
        <v>9</v>
      </c>
      <c r="D87" s="2" t="s">
        <v>21</v>
      </c>
      <c r="E87" s="2" t="s">
        <v>22</v>
      </c>
      <c r="F87" s="2" t="s">
        <v>23</v>
      </c>
      <c r="G87" s="2" t="s">
        <v>24</v>
      </c>
    </row>
    <row r="88" spans="1:7">
      <c r="A88" s="2" t="s">
        <v>357</v>
      </c>
      <c r="B88" s="2" t="s">
        <v>356</v>
      </c>
      <c r="C88" s="2" t="s">
        <v>9</v>
      </c>
      <c r="D88" s="2" t="s">
        <v>103</v>
      </c>
      <c r="E88" s="2" t="s">
        <v>358</v>
      </c>
      <c r="F88" s="2" t="s">
        <v>359</v>
      </c>
      <c r="G88" s="2" t="s">
        <v>360</v>
      </c>
    </row>
    <row r="89" spans="1:7">
      <c r="A89" s="2" t="s">
        <v>361</v>
      </c>
      <c r="B89" s="2" t="s">
        <v>356</v>
      </c>
      <c r="C89" s="2" t="s">
        <v>9</v>
      </c>
      <c r="D89" s="2" t="s">
        <v>226</v>
      </c>
      <c r="E89" s="2" t="s">
        <v>227</v>
      </c>
      <c r="F89" s="2" t="s">
        <v>228</v>
      </c>
      <c r="G89" s="2" t="s">
        <v>229</v>
      </c>
    </row>
    <row r="90" spans="1:7">
      <c r="A90" s="2" t="s">
        <v>362</v>
      </c>
      <c r="B90" s="2" t="s">
        <v>356</v>
      </c>
      <c r="C90" s="2" t="s">
        <v>9</v>
      </c>
      <c r="D90" s="2" t="s">
        <v>50</v>
      </c>
      <c r="E90" s="2" t="s">
        <v>51</v>
      </c>
      <c r="F90" s="2" t="s">
        <v>52</v>
      </c>
      <c r="G90" s="2" t="s">
        <v>51</v>
      </c>
    </row>
    <row r="91" spans="1:7">
      <c r="A91" s="2" t="s">
        <v>363</v>
      </c>
      <c r="B91" s="2" t="s">
        <v>356</v>
      </c>
      <c r="C91" s="2" t="s">
        <v>9</v>
      </c>
      <c r="D91" s="2" t="s">
        <v>364</v>
      </c>
      <c r="E91" s="2" t="s">
        <v>365</v>
      </c>
      <c r="F91" s="2" t="s">
        <v>80</v>
      </c>
      <c r="G91" s="2" t="s">
        <v>366</v>
      </c>
    </row>
    <row r="92" spans="1:7">
      <c r="A92" s="2" t="s">
        <v>367</v>
      </c>
      <c r="B92" s="2" t="s">
        <v>356</v>
      </c>
      <c r="C92" s="2" t="s">
        <v>9</v>
      </c>
      <c r="D92" s="2" t="s">
        <v>54</v>
      </c>
      <c r="E92" s="2" t="s">
        <v>55</v>
      </c>
      <c r="F92" s="2" t="s">
        <v>56</v>
      </c>
      <c r="G92" s="2" t="s">
        <v>57</v>
      </c>
    </row>
    <row r="93" spans="1:7">
      <c r="A93" s="2" t="s">
        <v>368</v>
      </c>
      <c r="B93" s="2" t="s">
        <v>356</v>
      </c>
      <c r="C93" s="2" t="s">
        <v>9</v>
      </c>
      <c r="D93" s="2" t="s">
        <v>369</v>
      </c>
      <c r="E93" s="2" t="s">
        <v>370</v>
      </c>
      <c r="F93" s="2" t="s">
        <v>371</v>
      </c>
      <c r="G93" s="2" t="s">
        <v>372</v>
      </c>
    </row>
    <row r="94" spans="1:7">
      <c r="A94" s="2" t="s">
        <v>373</v>
      </c>
      <c r="B94" s="2" t="s">
        <v>356</v>
      </c>
      <c r="C94" s="2" t="s">
        <v>9</v>
      </c>
      <c r="D94" s="2" t="s">
        <v>374</v>
      </c>
      <c r="E94" s="2" t="s">
        <v>375</v>
      </c>
      <c r="F94" s="2" t="s">
        <v>371</v>
      </c>
      <c r="G94" s="2" t="s">
        <v>376</v>
      </c>
    </row>
    <row r="95" spans="1:7">
      <c r="A95" s="2" t="s">
        <v>377</v>
      </c>
      <c r="B95" s="2" t="s">
        <v>356</v>
      </c>
      <c r="C95" s="2" t="s">
        <v>9</v>
      </c>
      <c r="D95" s="2" t="s">
        <v>218</v>
      </c>
      <c r="E95" s="2" t="s">
        <v>219</v>
      </c>
      <c r="F95" s="2" t="s">
        <v>220</v>
      </c>
      <c r="G95" s="2" t="s">
        <v>221</v>
      </c>
    </row>
    <row r="96" spans="1:7">
      <c r="A96" s="2" t="s">
        <v>378</v>
      </c>
      <c r="B96" s="2" t="s">
        <v>379</v>
      </c>
      <c r="C96" s="2" t="s">
        <v>9</v>
      </c>
      <c r="D96" s="2" t="s">
        <v>380</v>
      </c>
      <c r="E96" s="2" t="s">
        <v>381</v>
      </c>
      <c r="F96" s="2" t="s">
        <v>382</v>
      </c>
      <c r="G96" s="2" t="s">
        <v>383</v>
      </c>
    </row>
    <row r="97" spans="1:7">
      <c r="A97" s="2" t="s">
        <v>384</v>
      </c>
      <c r="B97" s="2" t="s">
        <v>379</v>
      </c>
      <c r="C97" s="2" t="s">
        <v>9</v>
      </c>
      <c r="D97" s="2" t="s">
        <v>184</v>
      </c>
      <c r="E97" s="2" t="s">
        <v>185</v>
      </c>
      <c r="F97" s="2" t="s">
        <v>186</v>
      </c>
      <c r="G97" s="2" t="s">
        <v>187</v>
      </c>
    </row>
    <row r="98" spans="1:7">
      <c r="A98" s="2" t="s">
        <v>385</v>
      </c>
      <c r="B98" s="2" t="s">
        <v>379</v>
      </c>
      <c r="C98" s="2" t="s">
        <v>9</v>
      </c>
      <c r="D98" s="2" t="s">
        <v>386</v>
      </c>
      <c r="E98" s="2" t="s">
        <v>387</v>
      </c>
      <c r="F98" s="2" t="s">
        <v>388</v>
      </c>
      <c r="G98" s="2" t="s">
        <v>389</v>
      </c>
    </row>
    <row r="99" spans="1:7">
      <c r="A99" s="2" t="s">
        <v>390</v>
      </c>
      <c r="B99" s="2" t="s">
        <v>379</v>
      </c>
      <c r="C99" s="2" t="s">
        <v>9</v>
      </c>
      <c r="D99" s="2" t="s">
        <v>391</v>
      </c>
      <c r="E99" s="2" t="s">
        <v>392</v>
      </c>
      <c r="F99" s="2" t="s">
        <v>393</v>
      </c>
      <c r="G99" s="2" t="s">
        <v>394</v>
      </c>
    </row>
    <row r="100" spans="1:7">
      <c r="A100" s="2" t="s">
        <v>395</v>
      </c>
      <c r="B100" s="2" t="s">
        <v>379</v>
      </c>
      <c r="C100" s="2" t="s">
        <v>9</v>
      </c>
      <c r="D100" s="2" t="s">
        <v>265</v>
      </c>
      <c r="E100" s="2" t="s">
        <v>266</v>
      </c>
      <c r="F100" s="2" t="s">
        <v>23</v>
      </c>
      <c r="G100" s="2" t="s">
        <v>266</v>
      </c>
    </row>
    <row r="101" spans="1:7">
      <c r="A101" s="2" t="s">
        <v>396</v>
      </c>
      <c r="B101" s="2" t="s">
        <v>379</v>
      </c>
      <c r="C101" s="2" t="s">
        <v>9</v>
      </c>
      <c r="D101" s="2" t="s">
        <v>226</v>
      </c>
      <c r="E101" s="2" t="s">
        <v>397</v>
      </c>
      <c r="F101" s="2" t="s">
        <v>398</v>
      </c>
      <c r="G101" s="2" t="s">
        <v>399</v>
      </c>
    </row>
    <row r="102" spans="1:7">
      <c r="A102" s="2" t="s">
        <v>400</v>
      </c>
      <c r="B102" s="2" t="s">
        <v>401</v>
      </c>
      <c r="C102" s="2" t="s">
        <v>9</v>
      </c>
      <c r="D102" s="2" t="s">
        <v>45</v>
      </c>
      <c r="E102" s="2" t="s">
        <v>46</v>
      </c>
      <c r="F102" s="2" t="s">
        <v>47</v>
      </c>
      <c r="G102" s="2" t="s">
        <v>48</v>
      </c>
    </row>
    <row r="103" spans="1:7">
      <c r="A103" s="2" t="s">
        <v>402</v>
      </c>
      <c r="B103" s="2" t="s">
        <v>401</v>
      </c>
      <c r="C103" s="2" t="s">
        <v>9</v>
      </c>
      <c r="D103" s="2" t="s">
        <v>403</v>
      </c>
      <c r="E103" s="2" t="s">
        <v>404</v>
      </c>
      <c r="F103" s="2" t="s">
        <v>113</v>
      </c>
      <c r="G103" s="2" t="s">
        <v>405</v>
      </c>
    </row>
    <row r="104" spans="1:7">
      <c r="A104" s="2" t="s">
        <v>406</v>
      </c>
      <c r="B104" s="2" t="s">
        <v>401</v>
      </c>
      <c r="C104" s="2" t="s">
        <v>9</v>
      </c>
      <c r="D104" s="2" t="s">
        <v>407</v>
      </c>
      <c r="E104" s="2" t="s">
        <v>408</v>
      </c>
      <c r="F104" s="2" t="s">
        <v>409</v>
      </c>
      <c r="G104" s="2" t="s">
        <v>410</v>
      </c>
    </row>
    <row r="105" spans="1:7">
      <c r="A105" s="2" t="s">
        <v>411</v>
      </c>
      <c r="B105" s="2" t="s">
        <v>401</v>
      </c>
      <c r="C105" s="2" t="s">
        <v>9</v>
      </c>
      <c r="D105" s="2" t="s">
        <v>198</v>
      </c>
      <c r="E105" s="2" t="s">
        <v>199</v>
      </c>
      <c r="F105" s="2" t="s">
        <v>200</v>
      </c>
      <c r="G105" s="2" t="s">
        <v>201</v>
      </c>
    </row>
    <row r="106" spans="1:7">
      <c r="A106" s="2" t="s">
        <v>412</v>
      </c>
      <c r="B106" s="2" t="s">
        <v>401</v>
      </c>
      <c r="C106" s="2" t="s">
        <v>9</v>
      </c>
      <c r="D106" s="2" t="s">
        <v>364</v>
      </c>
      <c r="E106" s="2" t="s">
        <v>365</v>
      </c>
      <c r="F106" s="2" t="s">
        <v>80</v>
      </c>
      <c r="G106" s="2" t="s">
        <v>366</v>
      </c>
    </row>
    <row r="107" spans="1:7">
      <c r="A107" s="2" t="s">
        <v>413</v>
      </c>
      <c r="B107" s="2" t="s">
        <v>401</v>
      </c>
      <c r="C107" s="2" t="s">
        <v>9</v>
      </c>
      <c r="D107" s="2" t="s">
        <v>226</v>
      </c>
      <c r="E107" s="2" t="s">
        <v>414</v>
      </c>
      <c r="F107" s="2" t="s">
        <v>158</v>
      </c>
      <c r="G107" s="2" t="s">
        <v>415</v>
      </c>
    </row>
    <row r="108" spans="1:7">
      <c r="A108" s="2" t="s">
        <v>416</v>
      </c>
      <c r="B108" s="2" t="s">
        <v>401</v>
      </c>
      <c r="C108" s="2" t="s">
        <v>9</v>
      </c>
      <c r="D108" s="2" t="s">
        <v>168</v>
      </c>
      <c r="E108" s="2" t="s">
        <v>169</v>
      </c>
      <c r="F108" s="2" t="s">
        <v>170</v>
      </c>
      <c r="G108" s="2" t="s">
        <v>171</v>
      </c>
    </row>
    <row r="109" spans="1:7">
      <c r="A109" s="2" t="s">
        <v>417</v>
      </c>
      <c r="B109" s="2" t="s">
        <v>401</v>
      </c>
      <c r="C109" s="2" t="s">
        <v>9</v>
      </c>
      <c r="D109" s="2" t="s">
        <v>418</v>
      </c>
      <c r="E109" s="2" t="s">
        <v>419</v>
      </c>
      <c r="F109" s="2" t="s">
        <v>420</v>
      </c>
      <c r="G109" s="2" t="s">
        <v>419</v>
      </c>
    </row>
    <row r="110" spans="1:7">
      <c r="A110" s="2" t="s">
        <v>421</v>
      </c>
      <c r="B110" s="2" t="s">
        <v>401</v>
      </c>
      <c r="C110" s="2" t="s">
        <v>9</v>
      </c>
      <c r="D110" s="2" t="s">
        <v>422</v>
      </c>
      <c r="E110" s="2" t="s">
        <v>423</v>
      </c>
      <c r="F110" s="2" t="s">
        <v>424</v>
      </c>
      <c r="G110" s="2" t="s">
        <v>425</v>
      </c>
    </row>
    <row r="111" spans="1:7">
      <c r="A111" s="2" t="s">
        <v>426</v>
      </c>
      <c r="B111" s="2" t="s">
        <v>427</v>
      </c>
      <c r="C111" s="2" t="s">
        <v>9</v>
      </c>
      <c r="D111" s="2" t="s">
        <v>42</v>
      </c>
      <c r="E111" s="2" t="s">
        <v>428</v>
      </c>
      <c r="F111" s="2" t="s">
        <v>33</v>
      </c>
      <c r="G111" s="2" t="s">
        <v>429</v>
      </c>
    </row>
    <row r="112" spans="1:7">
      <c r="A112" s="2" t="s">
        <v>430</v>
      </c>
      <c r="B112" s="2" t="s">
        <v>427</v>
      </c>
      <c r="C112" s="2" t="s">
        <v>9</v>
      </c>
      <c r="D112" s="2" t="s">
        <v>26</v>
      </c>
      <c r="E112" s="2" t="s">
        <v>27</v>
      </c>
      <c r="F112" s="2" t="s">
        <v>28</v>
      </c>
      <c r="G112" s="2" t="s">
        <v>29</v>
      </c>
    </row>
    <row r="113" spans="1:7">
      <c r="A113" s="2" t="s">
        <v>431</v>
      </c>
      <c r="B113" s="2" t="s">
        <v>427</v>
      </c>
      <c r="C113" s="2" t="s">
        <v>9</v>
      </c>
      <c r="D113" s="2" t="s">
        <v>432</v>
      </c>
      <c r="E113" s="2" t="s">
        <v>433</v>
      </c>
      <c r="F113" s="2" t="s">
        <v>434</v>
      </c>
      <c r="G113" s="2" t="s">
        <v>435</v>
      </c>
    </row>
    <row r="114" spans="1:7">
      <c r="A114" s="2" t="s">
        <v>436</v>
      </c>
      <c r="B114" s="2" t="s">
        <v>427</v>
      </c>
      <c r="C114" s="2" t="s">
        <v>9</v>
      </c>
      <c r="D114" s="2" t="s">
        <v>251</v>
      </c>
      <c r="E114" s="2" t="s">
        <v>437</v>
      </c>
      <c r="F114" s="2" t="s">
        <v>80</v>
      </c>
      <c r="G114" s="2" t="s">
        <v>438</v>
      </c>
    </row>
    <row r="115" spans="1:7">
      <c r="A115" s="2" t="s">
        <v>439</v>
      </c>
      <c r="B115" s="2" t="s">
        <v>427</v>
      </c>
      <c r="C115" s="2" t="s">
        <v>9</v>
      </c>
      <c r="D115" s="2" t="s">
        <v>440</v>
      </c>
      <c r="E115" s="2" t="s">
        <v>441</v>
      </c>
      <c r="F115" s="2" t="s">
        <v>442</v>
      </c>
      <c r="G115" s="2" t="s">
        <v>443</v>
      </c>
    </row>
    <row r="116" spans="1:7">
      <c r="A116" s="2" t="s">
        <v>444</v>
      </c>
      <c r="B116" s="2" t="s">
        <v>427</v>
      </c>
      <c r="C116" s="2" t="s">
        <v>9</v>
      </c>
      <c r="D116" s="2" t="s">
        <v>445</v>
      </c>
      <c r="E116" s="2" t="s">
        <v>446</v>
      </c>
      <c r="F116" s="2" t="s">
        <v>447</v>
      </c>
      <c r="G116" s="2" t="s">
        <v>448</v>
      </c>
    </row>
    <row r="117" spans="1:7">
      <c r="A117" s="2" t="s">
        <v>449</v>
      </c>
      <c r="B117" s="2" t="s">
        <v>427</v>
      </c>
      <c r="C117" s="2" t="s">
        <v>9</v>
      </c>
      <c r="D117" s="2" t="s">
        <v>268</v>
      </c>
      <c r="E117" s="2" t="s">
        <v>269</v>
      </c>
      <c r="F117" s="2" t="s">
        <v>270</v>
      </c>
      <c r="G117" s="2" t="s">
        <v>271</v>
      </c>
    </row>
    <row r="118" spans="1:7">
      <c r="A118" s="2" t="s">
        <v>450</v>
      </c>
      <c r="B118" s="2" t="s">
        <v>427</v>
      </c>
      <c r="C118" s="2" t="s">
        <v>9</v>
      </c>
      <c r="D118" s="2" t="s">
        <v>194</v>
      </c>
      <c r="E118" s="2" t="s">
        <v>273</v>
      </c>
      <c r="F118" s="2" t="s">
        <v>274</v>
      </c>
      <c r="G118" s="2" t="s">
        <v>275</v>
      </c>
    </row>
    <row r="119" spans="1:7">
      <c r="A119" s="2" t="s">
        <v>451</v>
      </c>
      <c r="B119" s="2" t="s">
        <v>452</v>
      </c>
      <c r="C119" s="2" t="s">
        <v>9</v>
      </c>
      <c r="D119" s="2" t="s">
        <v>198</v>
      </c>
      <c r="E119" s="2" t="s">
        <v>199</v>
      </c>
      <c r="F119" s="2" t="s">
        <v>200</v>
      </c>
      <c r="G119" s="2" t="s">
        <v>201</v>
      </c>
    </row>
    <row r="120" spans="1:7">
      <c r="A120" s="2" t="s">
        <v>453</v>
      </c>
      <c r="B120" s="2" t="s">
        <v>452</v>
      </c>
      <c r="C120" s="2" t="s">
        <v>9</v>
      </c>
      <c r="D120" s="2" t="s">
        <v>203</v>
      </c>
      <c r="E120" s="2" t="s">
        <v>204</v>
      </c>
      <c r="F120" s="2" t="s">
        <v>205</v>
      </c>
      <c r="G120" s="2" t="s">
        <v>206</v>
      </c>
    </row>
    <row r="121" spans="1:7">
      <c r="A121" s="2" t="s">
        <v>454</v>
      </c>
      <c r="B121" s="2" t="s">
        <v>452</v>
      </c>
      <c r="C121" s="2" t="s">
        <v>9</v>
      </c>
      <c r="D121" s="2" t="s">
        <v>68</v>
      </c>
      <c r="E121" s="2" t="s">
        <v>69</v>
      </c>
      <c r="F121" s="2" t="s">
        <v>70</v>
      </c>
      <c r="G121" s="2" t="s">
        <v>71</v>
      </c>
    </row>
    <row r="122" spans="1:7">
      <c r="A122" s="2" t="s">
        <v>455</v>
      </c>
      <c r="B122" s="2" t="s">
        <v>452</v>
      </c>
      <c r="C122" s="2" t="s">
        <v>9</v>
      </c>
      <c r="D122" s="2" t="s">
        <v>456</v>
      </c>
      <c r="E122" s="2" t="s">
        <v>457</v>
      </c>
      <c r="F122" s="2" t="s">
        <v>150</v>
      </c>
      <c r="G122" s="2" t="s">
        <v>458</v>
      </c>
    </row>
    <row r="123" spans="1:7">
      <c r="A123" s="2" t="s">
        <v>459</v>
      </c>
      <c r="B123" s="2" t="s">
        <v>452</v>
      </c>
      <c r="C123" s="2" t="s">
        <v>9</v>
      </c>
      <c r="D123" s="2" t="s">
        <v>208</v>
      </c>
      <c r="E123" s="2" t="s">
        <v>209</v>
      </c>
      <c r="F123" s="2" t="s">
        <v>210</v>
      </c>
      <c r="G123" s="2" t="s">
        <v>211</v>
      </c>
    </row>
    <row r="124" spans="1:7">
      <c r="A124" s="2" t="s">
        <v>460</v>
      </c>
      <c r="B124" s="2" t="s">
        <v>452</v>
      </c>
      <c r="C124" s="2" t="s">
        <v>9</v>
      </c>
      <c r="D124" s="2" t="s">
        <v>461</v>
      </c>
      <c r="E124" s="2" t="s">
        <v>462</v>
      </c>
      <c r="F124" s="2" t="s">
        <v>463</v>
      </c>
      <c r="G124" s="2" t="s">
        <v>462</v>
      </c>
    </row>
    <row r="125" spans="1:7">
      <c r="A125" s="2" t="s">
        <v>464</v>
      </c>
      <c r="B125" s="2" t="s">
        <v>452</v>
      </c>
      <c r="C125" s="2" t="s">
        <v>9</v>
      </c>
      <c r="D125" s="2" t="s">
        <v>337</v>
      </c>
      <c r="E125" s="2" t="s">
        <v>338</v>
      </c>
      <c r="F125" s="2" t="s">
        <v>339</v>
      </c>
      <c r="G125" s="2" t="s">
        <v>340</v>
      </c>
    </row>
    <row r="126" spans="1:7">
      <c r="A126" s="2" t="s">
        <v>465</v>
      </c>
      <c r="B126" s="2" t="s">
        <v>452</v>
      </c>
      <c r="C126" s="2" t="s">
        <v>9</v>
      </c>
      <c r="D126" s="2" t="s">
        <v>347</v>
      </c>
      <c r="E126" s="2" t="s">
        <v>348</v>
      </c>
      <c r="F126" s="2" t="s">
        <v>337</v>
      </c>
      <c r="G126" s="2" t="s">
        <v>349</v>
      </c>
    </row>
    <row r="127" spans="1:7">
      <c r="A127" s="2" t="s">
        <v>466</v>
      </c>
      <c r="B127" s="2" t="s">
        <v>452</v>
      </c>
      <c r="C127" s="2" t="s">
        <v>9</v>
      </c>
      <c r="D127" s="2" t="s">
        <v>158</v>
      </c>
      <c r="E127" s="2" t="s">
        <v>467</v>
      </c>
      <c r="F127" s="2" t="s">
        <v>468</v>
      </c>
      <c r="G127" s="2" t="s">
        <v>469</v>
      </c>
    </row>
    <row r="128" spans="1:7">
      <c r="A128" s="2" t="s">
        <v>470</v>
      </c>
      <c r="B128" s="2" t="s">
        <v>452</v>
      </c>
      <c r="C128" s="2" t="s">
        <v>9</v>
      </c>
      <c r="D128" s="2" t="s">
        <v>120</v>
      </c>
      <c r="E128" s="2" t="s">
        <v>121</v>
      </c>
      <c r="F128" s="2" t="s">
        <v>122</v>
      </c>
      <c r="G128" s="2" t="s">
        <v>123</v>
      </c>
    </row>
    <row r="129" spans="1:7">
      <c r="A129" s="2" t="s">
        <v>471</v>
      </c>
      <c r="B129" s="2" t="s">
        <v>452</v>
      </c>
      <c r="C129" s="2" t="s">
        <v>9</v>
      </c>
      <c r="D129" s="2" t="s">
        <v>472</v>
      </c>
      <c r="E129" s="2" t="s">
        <v>473</v>
      </c>
      <c r="F129" s="2" t="s">
        <v>474</v>
      </c>
      <c r="G129" s="2" t="s">
        <v>475</v>
      </c>
    </row>
    <row r="130" spans="1:7">
      <c r="A130" s="2" t="s">
        <v>476</v>
      </c>
      <c r="B130" s="2" t="s">
        <v>477</v>
      </c>
      <c r="C130" s="2" t="s">
        <v>9</v>
      </c>
      <c r="D130" s="2" t="s">
        <v>42</v>
      </c>
      <c r="E130" s="2" t="s">
        <v>428</v>
      </c>
      <c r="F130" s="2" t="s">
        <v>33</v>
      </c>
      <c r="G130" s="2" t="s">
        <v>429</v>
      </c>
    </row>
    <row r="131" spans="1:7">
      <c r="A131" s="2" t="s">
        <v>478</v>
      </c>
      <c r="B131" s="2" t="s">
        <v>477</v>
      </c>
      <c r="C131" s="2" t="s">
        <v>9</v>
      </c>
      <c r="D131" s="2" t="s">
        <v>479</v>
      </c>
      <c r="E131" s="2" t="s">
        <v>480</v>
      </c>
      <c r="F131" s="2" t="s">
        <v>330</v>
      </c>
      <c r="G131" s="2" t="s">
        <v>481</v>
      </c>
    </row>
    <row r="132" spans="1:7">
      <c r="A132" s="2" t="s">
        <v>482</v>
      </c>
      <c r="B132" s="2" t="s">
        <v>477</v>
      </c>
      <c r="C132" s="2" t="s">
        <v>9</v>
      </c>
      <c r="D132" s="2" t="s">
        <v>258</v>
      </c>
      <c r="E132" s="2" t="s">
        <v>259</v>
      </c>
      <c r="F132" s="2" t="s">
        <v>260</v>
      </c>
      <c r="G132" s="2" t="s">
        <v>261</v>
      </c>
    </row>
    <row r="133" spans="1:7">
      <c r="A133" s="2" t="s">
        <v>483</v>
      </c>
      <c r="B133" s="2" t="s">
        <v>477</v>
      </c>
      <c r="C133" s="2" t="s">
        <v>9</v>
      </c>
      <c r="D133" s="2" t="s">
        <v>484</v>
      </c>
      <c r="E133" s="2" t="s">
        <v>485</v>
      </c>
      <c r="F133" s="2" t="s">
        <v>486</v>
      </c>
      <c r="G133" s="2" t="s">
        <v>487</v>
      </c>
    </row>
    <row r="134" spans="1:7">
      <c r="A134" s="2" t="s">
        <v>488</v>
      </c>
      <c r="B134" s="2" t="s">
        <v>477</v>
      </c>
      <c r="C134" s="2" t="s">
        <v>9</v>
      </c>
      <c r="D134" s="2" t="s">
        <v>179</v>
      </c>
      <c r="E134" s="2" t="s">
        <v>180</v>
      </c>
      <c r="F134" s="2" t="s">
        <v>181</v>
      </c>
      <c r="G134" s="2" t="s">
        <v>182</v>
      </c>
    </row>
    <row r="135" spans="1:7">
      <c r="A135" s="2" t="s">
        <v>489</v>
      </c>
      <c r="B135" s="2" t="s">
        <v>477</v>
      </c>
      <c r="C135" s="2" t="s">
        <v>9</v>
      </c>
      <c r="D135" s="2" t="s">
        <v>490</v>
      </c>
      <c r="E135" s="2" t="s">
        <v>491</v>
      </c>
      <c r="F135" s="2" t="s">
        <v>393</v>
      </c>
      <c r="G135" s="2" t="s">
        <v>492</v>
      </c>
    </row>
    <row r="136" spans="1:7">
      <c r="A136" s="2" t="s">
        <v>493</v>
      </c>
      <c r="B136" s="2" t="s">
        <v>477</v>
      </c>
      <c r="C136" s="2" t="s">
        <v>9</v>
      </c>
      <c r="D136" s="2" t="s">
        <v>325</v>
      </c>
      <c r="E136" s="2" t="s">
        <v>326</v>
      </c>
      <c r="F136" s="2" t="s">
        <v>327</v>
      </c>
      <c r="G136" s="2" t="s">
        <v>326</v>
      </c>
    </row>
    <row r="137" spans="1:7">
      <c r="A137" s="2" t="s">
        <v>494</v>
      </c>
      <c r="B137" s="2" t="s">
        <v>477</v>
      </c>
      <c r="C137" s="2" t="s">
        <v>9</v>
      </c>
      <c r="D137" s="2" t="s">
        <v>495</v>
      </c>
      <c r="E137" s="2" t="s">
        <v>496</v>
      </c>
      <c r="F137" s="2" t="s">
        <v>497</v>
      </c>
      <c r="G137" s="2" t="s">
        <v>498</v>
      </c>
    </row>
    <row r="138" spans="1:7">
      <c r="A138" s="2" t="s">
        <v>499</v>
      </c>
      <c r="B138" s="2" t="s">
        <v>477</v>
      </c>
      <c r="C138" s="2" t="s">
        <v>9</v>
      </c>
      <c r="D138" s="2" t="s">
        <v>158</v>
      </c>
      <c r="E138" s="2" t="s">
        <v>159</v>
      </c>
      <c r="F138" s="2" t="s">
        <v>160</v>
      </c>
      <c r="G138" s="2" t="s">
        <v>161</v>
      </c>
    </row>
    <row r="139" spans="1:7">
      <c r="A139" s="2" t="s">
        <v>500</v>
      </c>
      <c r="B139" s="2" t="s">
        <v>477</v>
      </c>
      <c r="C139" s="2" t="s">
        <v>9</v>
      </c>
      <c r="D139" s="2" t="s">
        <v>88</v>
      </c>
      <c r="E139" s="2" t="s">
        <v>89</v>
      </c>
      <c r="F139" s="2" t="s">
        <v>90</v>
      </c>
      <c r="G139" s="2" t="s">
        <v>91</v>
      </c>
    </row>
    <row r="140" spans="1:7">
      <c r="A140" s="2" t="s">
        <v>501</v>
      </c>
      <c r="B140" s="2" t="s">
        <v>477</v>
      </c>
      <c r="C140" s="2" t="s">
        <v>9</v>
      </c>
      <c r="D140" s="2" t="s">
        <v>502</v>
      </c>
      <c r="E140" s="2" t="s">
        <v>503</v>
      </c>
      <c r="F140" s="2" t="s">
        <v>504</v>
      </c>
      <c r="G140" s="2" t="s">
        <v>505</v>
      </c>
    </row>
    <row r="141" spans="1:7">
      <c r="A141" s="2" t="s">
        <v>506</v>
      </c>
      <c r="B141" s="2" t="s">
        <v>477</v>
      </c>
      <c r="C141" s="2" t="s">
        <v>9</v>
      </c>
      <c r="D141" s="2" t="s">
        <v>507</v>
      </c>
      <c r="E141" s="2" t="s">
        <v>508</v>
      </c>
      <c r="F141" s="2" t="s">
        <v>509</v>
      </c>
      <c r="G141" s="2" t="s">
        <v>510</v>
      </c>
    </row>
    <row r="142" spans="1:7">
      <c r="A142" s="2" t="s">
        <v>511</v>
      </c>
      <c r="B142" s="2" t="s">
        <v>477</v>
      </c>
      <c r="C142" s="2" t="s">
        <v>9</v>
      </c>
      <c r="D142" s="2" t="s">
        <v>111</v>
      </c>
      <c r="E142" s="2" t="s">
        <v>112</v>
      </c>
      <c r="F142" s="2" t="s">
        <v>113</v>
      </c>
      <c r="G142" s="2" t="s">
        <v>114</v>
      </c>
    </row>
    <row r="143" spans="1:7">
      <c r="A143" s="2" t="s">
        <v>512</v>
      </c>
      <c r="B143" s="2" t="s">
        <v>477</v>
      </c>
      <c r="C143" s="2" t="s">
        <v>9</v>
      </c>
      <c r="D143" s="2" t="s">
        <v>244</v>
      </c>
      <c r="E143" s="2" t="s">
        <v>245</v>
      </c>
      <c r="F143" s="2" t="s">
        <v>246</v>
      </c>
      <c r="G143" s="2" t="s">
        <v>247</v>
      </c>
    </row>
    <row r="144" spans="1:7">
      <c r="A144" s="2" t="s">
        <v>513</v>
      </c>
      <c r="B144" s="2" t="s">
        <v>477</v>
      </c>
      <c r="C144" s="2" t="s">
        <v>9</v>
      </c>
      <c r="D144" s="2" t="s">
        <v>125</v>
      </c>
      <c r="E144" s="2" t="s">
        <v>126</v>
      </c>
      <c r="F144" s="2" t="s">
        <v>127</v>
      </c>
      <c r="G144" s="2" t="s">
        <v>128</v>
      </c>
    </row>
    <row r="145" spans="1:7">
      <c r="A145" s="2" t="s">
        <v>514</v>
      </c>
      <c r="B145" s="2" t="s">
        <v>8</v>
      </c>
      <c r="C145" s="2" t="s">
        <v>9</v>
      </c>
      <c r="D145" s="2" t="s">
        <v>59</v>
      </c>
      <c r="E145" s="2" t="s">
        <v>60</v>
      </c>
      <c r="F145" s="2" t="s">
        <v>23</v>
      </c>
      <c r="G145" s="2" t="s">
        <v>61</v>
      </c>
    </row>
    <row r="146" spans="1:7">
      <c r="A146" s="2" t="s">
        <v>515</v>
      </c>
      <c r="B146" s="2" t="s">
        <v>249</v>
      </c>
      <c r="C146" s="2" t="s">
        <v>9</v>
      </c>
      <c r="D146" s="2"/>
      <c r="E146" s="2"/>
      <c r="F146" s="2" t="s">
        <v>516</v>
      </c>
      <c r="G146" s="2" t="s">
        <v>517</v>
      </c>
    </row>
    <row r="147" spans="1:7">
      <c r="A147" s="2" t="s">
        <v>518</v>
      </c>
      <c r="B147" s="2" t="s">
        <v>130</v>
      </c>
      <c r="C147" s="2" t="s">
        <v>9</v>
      </c>
      <c r="D147" s="2"/>
      <c r="E147" s="2"/>
      <c r="F147" s="2" t="s">
        <v>519</v>
      </c>
      <c r="G147" s="2" t="s">
        <v>520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rightToLeft="1" tabSelected="1" zoomScaleNormal="100" workbookViewId="0">
      <pane ySplit="1" topLeftCell="A2" activePane="bottomLeft" state="frozen"/>
      <selection pane="bottomLeft" activeCell="E27" sqref="E27"/>
    </sheetView>
  </sheetViews>
  <sheetFormatPr defaultColWidth="8.7109375" defaultRowHeight="15"/>
  <cols>
    <col min="1" max="1" width="13" customWidth="1"/>
    <col min="2" max="2" width="11" customWidth="1"/>
    <col min="3" max="6" width="26" customWidth="1"/>
  </cols>
  <sheetData>
    <row r="1" spans="1:6">
      <c r="A1" s="1" t="s">
        <v>521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</row>
    <row r="2" spans="1:6">
      <c r="A2" s="3">
        <v>46269</v>
      </c>
      <c r="B2" s="4" t="s">
        <v>527</v>
      </c>
      <c r="C2" s="5" t="s">
        <v>528</v>
      </c>
      <c r="D2" s="5" t="s">
        <v>529</v>
      </c>
      <c r="E2" s="5" t="s">
        <v>530</v>
      </c>
      <c r="F2" s="5" t="s">
        <v>531</v>
      </c>
    </row>
    <row r="3" spans="1:6">
      <c r="A3" s="3">
        <v>46269</v>
      </c>
      <c r="B3" s="4" t="s">
        <v>532</v>
      </c>
      <c r="C3" s="5" t="s">
        <v>533</v>
      </c>
      <c r="D3" s="5" t="s">
        <v>534</v>
      </c>
      <c r="E3" s="5" t="s">
        <v>535</v>
      </c>
      <c r="F3" s="5" t="s">
        <v>536</v>
      </c>
    </row>
    <row r="4" spans="1:6">
      <c r="A4" s="6">
        <v>46283</v>
      </c>
      <c r="B4" s="7" t="s">
        <v>527</v>
      </c>
      <c r="C4" s="2" t="s">
        <v>537</v>
      </c>
      <c r="D4" s="2" t="s">
        <v>538</v>
      </c>
      <c r="E4" s="2" t="s">
        <v>539</v>
      </c>
      <c r="F4" s="2" t="s">
        <v>540</v>
      </c>
    </row>
    <row r="5" spans="1:6">
      <c r="A5" s="6">
        <v>46283</v>
      </c>
      <c r="B5" s="7" t="s">
        <v>532</v>
      </c>
      <c r="C5" s="2" t="s">
        <v>541</v>
      </c>
      <c r="D5" s="5" t="s">
        <v>622</v>
      </c>
      <c r="E5" s="2" t="s">
        <v>570</v>
      </c>
      <c r="F5" s="2" t="s">
        <v>544</v>
      </c>
    </row>
    <row r="6" spans="1:6">
      <c r="A6" s="3">
        <v>46304</v>
      </c>
      <c r="B6" s="4" t="s">
        <v>527</v>
      </c>
      <c r="C6" s="5" t="s">
        <v>545</v>
      </c>
      <c r="D6" s="5" t="s">
        <v>546</v>
      </c>
      <c r="E6" s="5" t="s">
        <v>547</v>
      </c>
      <c r="F6" s="5" t="s">
        <v>548</v>
      </c>
    </row>
    <row r="7" spans="1:6">
      <c r="A7" s="3">
        <v>46304</v>
      </c>
      <c r="B7" s="4" t="s">
        <v>532</v>
      </c>
      <c r="C7" s="5" t="s">
        <v>549</v>
      </c>
      <c r="D7" s="5" t="s">
        <v>550</v>
      </c>
      <c r="E7" s="5" t="s">
        <v>551</v>
      </c>
      <c r="F7" s="5" t="s">
        <v>552</v>
      </c>
    </row>
    <row r="8" spans="1:6">
      <c r="A8" s="6">
        <v>46311</v>
      </c>
      <c r="B8" s="7" t="s">
        <v>527</v>
      </c>
      <c r="C8" s="2" t="s">
        <v>531</v>
      </c>
      <c r="D8" s="2" t="s">
        <v>553</v>
      </c>
      <c r="E8" s="2" t="s">
        <v>554</v>
      </c>
      <c r="F8" s="2" t="s">
        <v>555</v>
      </c>
    </row>
    <row r="9" spans="1:6">
      <c r="A9" s="6">
        <v>46311</v>
      </c>
      <c r="B9" s="7" t="s">
        <v>532</v>
      </c>
      <c r="C9" s="2" t="s">
        <v>556</v>
      </c>
      <c r="D9" s="2" t="s">
        <v>557</v>
      </c>
      <c r="E9" s="2" t="s">
        <v>558</v>
      </c>
      <c r="F9" s="2" t="s">
        <v>559</v>
      </c>
    </row>
    <row r="10" spans="1:6">
      <c r="A10" s="3">
        <v>46318</v>
      </c>
      <c r="B10" s="4" t="s">
        <v>527</v>
      </c>
      <c r="C10" s="5" t="s">
        <v>560</v>
      </c>
      <c r="D10" s="5" t="s">
        <v>561</v>
      </c>
      <c r="E10" s="5" t="s">
        <v>562</v>
      </c>
      <c r="F10" s="5" t="s">
        <v>563</v>
      </c>
    </row>
    <row r="11" spans="1:6">
      <c r="A11" s="3">
        <v>46318</v>
      </c>
      <c r="B11" s="4" t="s">
        <v>532</v>
      </c>
      <c r="C11" s="5" t="s">
        <v>564</v>
      </c>
      <c r="D11" s="5" t="s">
        <v>565</v>
      </c>
      <c r="E11" s="5" t="s">
        <v>566</v>
      </c>
      <c r="F11" s="5" t="s">
        <v>567</v>
      </c>
    </row>
    <row r="12" spans="1:6">
      <c r="A12" s="6">
        <v>46325</v>
      </c>
      <c r="B12" s="7" t="s">
        <v>527</v>
      </c>
      <c r="C12" s="2" t="s">
        <v>568</v>
      </c>
      <c r="D12" s="2" t="s">
        <v>569</v>
      </c>
      <c r="E12" s="2" t="s">
        <v>543</v>
      </c>
      <c r="F12" s="2" t="s">
        <v>571</v>
      </c>
    </row>
    <row r="13" spans="1:6">
      <c r="A13" s="6">
        <v>46325</v>
      </c>
      <c r="B13" s="7" t="s">
        <v>532</v>
      </c>
      <c r="C13" s="2" t="s">
        <v>572</v>
      </c>
      <c r="D13" s="2" t="s">
        <v>573</v>
      </c>
      <c r="E13" s="2" t="s">
        <v>574</v>
      </c>
      <c r="F13" s="2" t="s">
        <v>575</v>
      </c>
    </row>
    <row r="14" spans="1:6">
      <c r="A14" s="3">
        <v>46332</v>
      </c>
      <c r="B14" s="4" t="s">
        <v>527</v>
      </c>
      <c r="C14" s="5" t="s">
        <v>576</v>
      </c>
      <c r="D14" s="5" t="s">
        <v>577</v>
      </c>
      <c r="E14" s="5" t="s">
        <v>578</v>
      </c>
      <c r="F14" s="5" t="s">
        <v>579</v>
      </c>
    </row>
    <row r="15" spans="1:6">
      <c r="A15" s="3">
        <v>46332</v>
      </c>
      <c r="B15" s="4" t="s">
        <v>532</v>
      </c>
      <c r="C15" s="5" t="s">
        <v>577</v>
      </c>
      <c r="D15" s="5" t="s">
        <v>580</v>
      </c>
      <c r="E15" s="5" t="s">
        <v>581</v>
      </c>
      <c r="F15" s="5" t="s">
        <v>582</v>
      </c>
    </row>
    <row r="16" spans="1:6">
      <c r="A16" s="6">
        <v>46339</v>
      </c>
      <c r="B16" s="7" t="s">
        <v>527</v>
      </c>
      <c r="C16" s="2" t="s">
        <v>558</v>
      </c>
      <c r="D16" s="2" t="s">
        <v>583</v>
      </c>
      <c r="E16" s="2" t="s">
        <v>584</v>
      </c>
      <c r="F16" s="2" t="s">
        <v>585</v>
      </c>
    </row>
    <row r="17" spans="1:6">
      <c r="A17" s="6">
        <v>46339</v>
      </c>
      <c r="B17" s="7" t="s">
        <v>532</v>
      </c>
      <c r="C17" s="2" t="s">
        <v>557</v>
      </c>
      <c r="D17" s="2" t="s">
        <v>586</v>
      </c>
      <c r="E17" s="2" t="s">
        <v>587</v>
      </c>
      <c r="F17" s="2" t="s">
        <v>588</v>
      </c>
    </row>
    <row r="18" spans="1:6">
      <c r="A18" s="3">
        <v>46346</v>
      </c>
      <c r="B18" s="4" t="s">
        <v>527</v>
      </c>
      <c r="C18" s="5" t="s">
        <v>589</v>
      </c>
      <c r="D18" s="5" t="s">
        <v>590</v>
      </c>
      <c r="E18" s="5" t="s">
        <v>591</v>
      </c>
      <c r="F18" s="5" t="s">
        <v>592</v>
      </c>
    </row>
    <row r="19" spans="1:6">
      <c r="A19" s="3">
        <v>46346</v>
      </c>
      <c r="B19" s="4" t="s">
        <v>532</v>
      </c>
      <c r="C19" s="5" t="s">
        <v>593</v>
      </c>
      <c r="D19" s="5" t="s">
        <v>594</v>
      </c>
      <c r="E19" s="5" t="s">
        <v>595</v>
      </c>
      <c r="F19" s="5" t="s">
        <v>596</v>
      </c>
    </row>
    <row r="20" spans="1:6">
      <c r="A20" s="6">
        <v>46353</v>
      </c>
      <c r="B20" s="7" t="s">
        <v>527</v>
      </c>
      <c r="C20" s="2" t="s">
        <v>597</v>
      </c>
      <c r="D20" s="2" t="s">
        <v>598</v>
      </c>
      <c r="E20" s="2" t="s">
        <v>599</v>
      </c>
      <c r="F20" s="2" t="s">
        <v>600</v>
      </c>
    </row>
    <row r="21" spans="1:6">
      <c r="A21" s="6">
        <v>46353</v>
      </c>
      <c r="B21" s="7" t="s">
        <v>532</v>
      </c>
      <c r="C21" s="2" t="s">
        <v>601</v>
      </c>
      <c r="D21" s="2" t="s">
        <v>602</v>
      </c>
      <c r="E21" s="2" t="s">
        <v>603</v>
      </c>
      <c r="F21" s="2" t="s">
        <v>604</v>
      </c>
    </row>
    <row r="22" spans="1:6">
      <c r="A22" s="3">
        <v>46360</v>
      </c>
      <c r="B22" s="4" t="s">
        <v>527</v>
      </c>
      <c r="C22" s="5" t="s">
        <v>540</v>
      </c>
      <c r="D22" s="5" t="s">
        <v>605</v>
      </c>
      <c r="E22" s="5" t="s">
        <v>606</v>
      </c>
      <c r="F22" s="5" t="s">
        <v>607</v>
      </c>
    </row>
    <row r="23" spans="1:6">
      <c r="A23" s="3">
        <v>46360</v>
      </c>
      <c r="B23" s="4" t="s">
        <v>532</v>
      </c>
      <c r="C23" s="5" t="s">
        <v>608</v>
      </c>
      <c r="D23" s="5" t="s">
        <v>609</v>
      </c>
      <c r="E23" s="5" t="s">
        <v>610</v>
      </c>
      <c r="F23" s="5" t="s">
        <v>611</v>
      </c>
    </row>
    <row r="24" spans="1:6">
      <c r="A24" s="6">
        <v>46374</v>
      </c>
      <c r="B24" s="7" t="s">
        <v>527</v>
      </c>
      <c r="C24" s="2" t="s">
        <v>612</v>
      </c>
      <c r="D24" s="2" t="s">
        <v>613</v>
      </c>
      <c r="E24" s="2" t="s">
        <v>614</v>
      </c>
      <c r="F24" s="2" t="s">
        <v>615</v>
      </c>
    </row>
    <row r="25" spans="1:6">
      <c r="A25" s="6">
        <v>46374</v>
      </c>
      <c r="B25" s="7" t="s">
        <v>532</v>
      </c>
      <c r="C25" s="2" t="s">
        <v>616</v>
      </c>
      <c r="D25" s="2" t="s">
        <v>617</v>
      </c>
      <c r="E25" s="2" t="s">
        <v>618</v>
      </c>
      <c r="F25" s="2" t="s">
        <v>579</v>
      </c>
    </row>
    <row r="26" spans="1:6">
      <c r="A26" s="3">
        <v>46381</v>
      </c>
      <c r="B26" s="4" t="s">
        <v>527</v>
      </c>
      <c r="C26" s="5" t="s">
        <v>619</v>
      </c>
      <c r="D26" s="5" t="s">
        <v>620</v>
      </c>
      <c r="E26" s="5" t="s">
        <v>621</v>
      </c>
      <c r="F26" s="5" t="s">
        <v>533</v>
      </c>
    </row>
    <row r="27" spans="1:6">
      <c r="A27" s="3">
        <v>46381</v>
      </c>
      <c r="B27" s="4" t="s">
        <v>532</v>
      </c>
      <c r="C27" s="5" t="s">
        <v>576</v>
      </c>
      <c r="D27" s="5" t="s">
        <v>538</v>
      </c>
      <c r="E27" s="2" t="s">
        <v>542</v>
      </c>
      <c r="F27" s="5" t="s">
        <v>530</v>
      </c>
    </row>
    <row r="28" spans="1:6">
      <c r="A28" s="6">
        <v>46388</v>
      </c>
      <c r="B28" s="7" t="s">
        <v>527</v>
      </c>
      <c r="C28" s="2" t="s">
        <v>534</v>
      </c>
      <c r="D28" s="2" t="s">
        <v>535</v>
      </c>
      <c r="E28" s="2" t="s">
        <v>543</v>
      </c>
      <c r="F28" s="2" t="s">
        <v>529</v>
      </c>
    </row>
    <row r="29" spans="1:6">
      <c r="A29" s="6">
        <v>46388</v>
      </c>
      <c r="B29" s="7" t="s">
        <v>532</v>
      </c>
      <c r="C29" s="2" t="s">
        <v>539</v>
      </c>
      <c r="D29" s="2" t="s">
        <v>536</v>
      </c>
      <c r="E29" s="2" t="s">
        <v>623</v>
      </c>
      <c r="F29" s="2" t="s">
        <v>537</v>
      </c>
    </row>
    <row r="30" spans="1:6">
      <c r="A30" s="3">
        <v>46395</v>
      </c>
      <c r="B30" s="4" t="s">
        <v>527</v>
      </c>
      <c r="C30" s="5" t="s">
        <v>541</v>
      </c>
      <c r="D30" s="5" t="s">
        <v>542</v>
      </c>
      <c r="E30" s="5" t="s">
        <v>550</v>
      </c>
      <c r="F30" s="5" t="s">
        <v>545</v>
      </c>
    </row>
    <row r="31" spans="1:6">
      <c r="A31" s="3">
        <v>46395</v>
      </c>
      <c r="B31" s="4" t="s">
        <v>532</v>
      </c>
      <c r="C31" s="5" t="s">
        <v>547</v>
      </c>
      <c r="D31" s="5" t="s">
        <v>544</v>
      </c>
      <c r="E31" s="5" t="s">
        <v>548</v>
      </c>
      <c r="F31" s="5" t="s">
        <v>546</v>
      </c>
    </row>
    <row r="32" spans="1:6">
      <c r="A32" s="6">
        <v>46402</v>
      </c>
      <c r="B32" s="7" t="s">
        <v>527</v>
      </c>
      <c r="C32" s="2" t="s">
        <v>549</v>
      </c>
      <c r="D32" s="2" t="s">
        <v>552</v>
      </c>
      <c r="E32" s="2" t="s">
        <v>566</v>
      </c>
      <c r="F32" s="2" t="s">
        <v>624</v>
      </c>
    </row>
    <row r="33" spans="1:6">
      <c r="A33" s="6">
        <v>46402</v>
      </c>
      <c r="B33" s="7" t="s">
        <v>532</v>
      </c>
      <c r="C33" s="2" t="s">
        <v>553</v>
      </c>
      <c r="D33" s="2" t="s">
        <v>555</v>
      </c>
      <c r="E33" s="2" t="s">
        <v>554</v>
      </c>
      <c r="F33" s="2" t="s">
        <v>625</v>
      </c>
    </row>
    <row r="34" spans="1:6">
      <c r="A34" s="3">
        <v>46409</v>
      </c>
      <c r="B34" s="4" t="s">
        <v>527</v>
      </c>
      <c r="C34" s="5" t="s">
        <v>556</v>
      </c>
      <c r="D34" s="5" t="s">
        <v>559</v>
      </c>
      <c r="E34" s="5" t="s">
        <v>567</v>
      </c>
      <c r="F34" s="5" t="s">
        <v>622</v>
      </c>
    </row>
    <row r="35" spans="1:6">
      <c r="A35" s="3">
        <v>46409</v>
      </c>
      <c r="B35" s="4" t="s">
        <v>532</v>
      </c>
      <c r="C35" s="5" t="s">
        <v>560</v>
      </c>
      <c r="D35" s="5" t="s">
        <v>561</v>
      </c>
      <c r="E35" s="5" t="s">
        <v>562</v>
      </c>
      <c r="F35" s="5" t="s">
        <v>565</v>
      </c>
    </row>
    <row r="36" spans="1:6">
      <c r="A36" s="6">
        <v>46416</v>
      </c>
      <c r="B36" s="7" t="s">
        <v>527</v>
      </c>
      <c r="C36" s="2" t="s">
        <v>564</v>
      </c>
      <c r="D36" s="2" t="s">
        <v>573</v>
      </c>
      <c r="E36" s="2" t="s">
        <v>563</v>
      </c>
      <c r="F36" s="2" t="s">
        <v>551</v>
      </c>
    </row>
    <row r="37" spans="1:6">
      <c r="A37" s="6">
        <v>46416</v>
      </c>
      <c r="B37" s="7" t="s">
        <v>532</v>
      </c>
      <c r="C37" s="2" t="s">
        <v>575</v>
      </c>
      <c r="D37" s="2" t="s">
        <v>569</v>
      </c>
      <c r="E37" s="2" t="s">
        <v>570</v>
      </c>
      <c r="F37" s="2" t="s">
        <v>572</v>
      </c>
    </row>
    <row r="38" spans="1:6">
      <c r="A38" s="3">
        <v>46423</v>
      </c>
      <c r="B38" s="4" t="s">
        <v>527</v>
      </c>
      <c r="C38" s="5" t="s">
        <v>616</v>
      </c>
      <c r="D38" s="5" t="s">
        <v>626</v>
      </c>
      <c r="E38" s="5" t="s">
        <v>574</v>
      </c>
      <c r="F38" s="5" t="s">
        <v>568</v>
      </c>
    </row>
    <row r="39" spans="1:6">
      <c r="A39" s="3">
        <v>46423</v>
      </c>
      <c r="B39" s="4" t="s">
        <v>532</v>
      </c>
      <c r="C39" s="5" t="s">
        <v>626</v>
      </c>
      <c r="D39" s="5" t="s">
        <v>528</v>
      </c>
      <c r="E39" s="5" t="s">
        <v>618</v>
      </c>
      <c r="F39" s="5" t="s">
        <v>598</v>
      </c>
    </row>
    <row r="40" spans="1:6">
      <c r="A40" s="6">
        <v>46430</v>
      </c>
      <c r="B40" s="7" t="s">
        <v>527</v>
      </c>
      <c r="C40" s="2" t="s">
        <v>580</v>
      </c>
      <c r="D40" s="2" t="s">
        <v>582</v>
      </c>
      <c r="E40" s="2" t="s">
        <v>591</v>
      </c>
      <c r="F40" s="2" t="s">
        <v>578</v>
      </c>
    </row>
    <row r="41" spans="1:6">
      <c r="A41" s="6">
        <v>46430</v>
      </c>
      <c r="B41" s="7" t="s">
        <v>532</v>
      </c>
      <c r="C41" s="2" t="s">
        <v>584</v>
      </c>
      <c r="D41" s="2" t="s">
        <v>585</v>
      </c>
      <c r="E41" s="2" t="s">
        <v>557</v>
      </c>
      <c r="F41" s="2" t="s">
        <v>587</v>
      </c>
    </row>
    <row r="42" spans="1:6">
      <c r="A42" s="3">
        <v>46437</v>
      </c>
      <c r="B42" s="4" t="s">
        <v>527</v>
      </c>
      <c r="C42" s="5" t="s">
        <v>593</v>
      </c>
      <c r="D42" s="5" t="s">
        <v>588</v>
      </c>
      <c r="E42" s="5" t="s">
        <v>595</v>
      </c>
      <c r="F42" s="5" t="s">
        <v>583</v>
      </c>
    </row>
    <row r="43" spans="1:6">
      <c r="A43" s="3">
        <v>46437</v>
      </c>
      <c r="B43" s="4" t="s">
        <v>532</v>
      </c>
      <c r="C43" s="5" t="s">
        <v>627</v>
      </c>
      <c r="D43" s="5" t="s">
        <v>590</v>
      </c>
      <c r="E43" s="5" t="s">
        <v>597</v>
      </c>
      <c r="F43" s="5" t="s">
        <v>589</v>
      </c>
    </row>
    <row r="44" spans="1:6">
      <c r="A44" s="6">
        <v>46444</v>
      </c>
      <c r="B44" s="7" t="s">
        <v>527</v>
      </c>
      <c r="C44" s="2" t="s">
        <v>596</v>
      </c>
      <c r="D44" s="2" t="s">
        <v>586</v>
      </c>
      <c r="E44" s="2" t="s">
        <v>603</v>
      </c>
      <c r="F44" s="2" t="s">
        <v>594</v>
      </c>
    </row>
    <row r="45" spans="1:6">
      <c r="A45" s="6">
        <v>46444</v>
      </c>
      <c r="B45" s="7" t="s">
        <v>532</v>
      </c>
      <c r="C45" s="2" t="s">
        <v>624</v>
      </c>
      <c r="D45" s="2" t="s">
        <v>592</v>
      </c>
      <c r="E45" s="2" t="s">
        <v>581</v>
      </c>
      <c r="F45" s="2" t="s">
        <v>599</v>
      </c>
    </row>
    <row r="46" spans="1:6">
      <c r="A46" s="3">
        <v>46451</v>
      </c>
      <c r="B46" s="4" t="s">
        <v>527</v>
      </c>
      <c r="C46" s="5" t="s">
        <v>602</v>
      </c>
      <c r="D46" s="5" t="s">
        <v>609</v>
      </c>
      <c r="E46" s="5" t="s">
        <v>600</v>
      </c>
      <c r="F46" s="5" t="s">
        <v>601</v>
      </c>
    </row>
    <row r="47" spans="1:6">
      <c r="A47" s="3">
        <v>46451</v>
      </c>
      <c r="B47" s="4" t="s">
        <v>532</v>
      </c>
      <c r="C47" s="5" t="s">
        <v>606</v>
      </c>
      <c r="D47" s="5" t="s">
        <v>605</v>
      </c>
      <c r="E47" s="5" t="s">
        <v>607</v>
      </c>
      <c r="F47" s="5" t="s">
        <v>610</v>
      </c>
    </row>
    <row r="48" spans="1:6">
      <c r="A48" s="6">
        <v>46458</v>
      </c>
      <c r="B48" s="7" t="s">
        <v>527</v>
      </c>
      <c r="C48" s="2" t="s">
        <v>608</v>
      </c>
      <c r="D48" s="2" t="s">
        <v>617</v>
      </c>
      <c r="E48" s="2" t="s">
        <v>611</v>
      </c>
      <c r="F48" s="2" t="s">
        <v>623</v>
      </c>
    </row>
    <row r="49" spans="1:6">
      <c r="A49" s="6">
        <v>46458</v>
      </c>
      <c r="B49" s="7" t="s">
        <v>532</v>
      </c>
      <c r="C49" s="2" t="s">
        <v>615</v>
      </c>
      <c r="D49" s="2" t="s">
        <v>613</v>
      </c>
      <c r="E49" s="2" t="s">
        <v>614</v>
      </c>
      <c r="F49" s="2" t="s">
        <v>628</v>
      </c>
    </row>
    <row r="50" spans="1:6">
      <c r="A50" s="3">
        <v>46465</v>
      </c>
      <c r="B50" s="4" t="s">
        <v>527</v>
      </c>
      <c r="C50" s="5" t="s">
        <v>618</v>
      </c>
      <c r="D50" s="5" t="s">
        <v>579</v>
      </c>
      <c r="E50" s="5" t="s">
        <v>575</v>
      </c>
      <c r="F50" s="5" t="s">
        <v>612</v>
      </c>
    </row>
    <row r="51" spans="1:6">
      <c r="A51" s="3">
        <v>46465</v>
      </c>
      <c r="B51" s="4" t="s">
        <v>532</v>
      </c>
      <c r="C51" s="5" t="s">
        <v>620</v>
      </c>
      <c r="D51" s="5" t="s">
        <v>619</v>
      </c>
      <c r="E51" s="5" t="s">
        <v>621</v>
      </c>
      <c r="F51" s="5" t="s">
        <v>576</v>
      </c>
    </row>
    <row r="52" spans="1:6">
      <c r="A52" s="6">
        <v>46472</v>
      </c>
      <c r="B52" s="7" t="s">
        <v>527</v>
      </c>
      <c r="C52" s="2" t="s">
        <v>572</v>
      </c>
      <c r="D52" s="2" t="s">
        <v>536</v>
      </c>
      <c r="E52" s="2" t="s">
        <v>598</v>
      </c>
      <c r="F52" s="2" t="s">
        <v>538</v>
      </c>
    </row>
    <row r="53" spans="1:6">
      <c r="A53" s="6">
        <v>46472</v>
      </c>
      <c r="B53" s="7" t="s">
        <v>532</v>
      </c>
      <c r="C53" s="2" t="s">
        <v>545</v>
      </c>
      <c r="D53" s="2" t="s">
        <v>529</v>
      </c>
      <c r="E53" s="2" t="s">
        <v>563</v>
      </c>
      <c r="F53" s="2" t="s">
        <v>534</v>
      </c>
    </row>
    <row r="54" spans="1:6">
      <c r="A54" s="3">
        <v>46479</v>
      </c>
      <c r="B54" s="4" t="s">
        <v>527</v>
      </c>
      <c r="C54" s="5" t="s">
        <v>604</v>
      </c>
      <c r="D54" s="5" t="s">
        <v>544</v>
      </c>
      <c r="E54" s="5" t="s">
        <v>587</v>
      </c>
      <c r="F54" s="5" t="s">
        <v>539</v>
      </c>
    </row>
    <row r="55" spans="1:6">
      <c r="A55" s="3">
        <v>46479</v>
      </c>
      <c r="B55" s="4" t="s">
        <v>532</v>
      </c>
      <c r="C55" s="5" t="s">
        <v>531</v>
      </c>
      <c r="D55" s="5" t="s">
        <v>583</v>
      </c>
      <c r="E55" s="5" t="s">
        <v>578</v>
      </c>
      <c r="F55" s="5" t="s">
        <v>535</v>
      </c>
    </row>
    <row r="56" spans="1:6">
      <c r="A56" s="6">
        <v>46486</v>
      </c>
      <c r="B56" s="7" t="s">
        <v>527</v>
      </c>
      <c r="C56" s="2" t="s">
        <v>628</v>
      </c>
      <c r="D56" s="2" t="s">
        <v>625</v>
      </c>
      <c r="E56" s="2" t="s">
        <v>610</v>
      </c>
      <c r="F56" s="2" t="s">
        <v>543</v>
      </c>
    </row>
    <row r="57" spans="1:6">
      <c r="A57" s="6">
        <v>46486</v>
      </c>
      <c r="B57" s="7" t="s">
        <v>532</v>
      </c>
      <c r="C57" s="2" t="s">
        <v>571</v>
      </c>
      <c r="D57" s="2" t="s">
        <v>568</v>
      </c>
      <c r="E57" s="2" t="s">
        <v>600</v>
      </c>
      <c r="F57" s="2" t="s">
        <v>550</v>
      </c>
    </row>
    <row r="58" spans="1:6">
      <c r="A58" s="3">
        <v>46507</v>
      </c>
      <c r="B58" s="4" t="s">
        <v>527</v>
      </c>
      <c r="C58" s="5" t="s">
        <v>565</v>
      </c>
      <c r="D58" s="5" t="s">
        <v>622</v>
      </c>
      <c r="E58" s="5" t="s">
        <v>530</v>
      </c>
      <c r="F58" s="5" t="s">
        <v>547</v>
      </c>
    </row>
    <row r="59" spans="1:6">
      <c r="A59" s="3">
        <v>46507</v>
      </c>
      <c r="B59" s="4" t="s">
        <v>532</v>
      </c>
      <c r="C59" s="5" t="s">
        <v>540</v>
      </c>
      <c r="D59" s="5" t="s">
        <v>612</v>
      </c>
      <c r="E59" s="5" t="s">
        <v>623</v>
      </c>
      <c r="F59" s="5" t="s">
        <v>542</v>
      </c>
    </row>
    <row r="60" spans="1:6">
      <c r="A60" s="6">
        <v>46514</v>
      </c>
      <c r="B60" s="7" t="s">
        <v>527</v>
      </c>
      <c r="C60" s="2" t="s">
        <v>533</v>
      </c>
      <c r="D60" s="2" t="s">
        <v>546</v>
      </c>
      <c r="E60" s="2" t="s">
        <v>548</v>
      </c>
      <c r="F60" s="2" t="s">
        <v>541</v>
      </c>
    </row>
    <row r="61" spans="1:6">
      <c r="A61" s="6">
        <v>46514</v>
      </c>
      <c r="B61" s="7" t="s">
        <v>532</v>
      </c>
      <c r="C61" s="2" t="s">
        <v>537</v>
      </c>
      <c r="D61" s="2" t="s">
        <v>553</v>
      </c>
      <c r="E61" s="2" t="s">
        <v>554</v>
      </c>
      <c r="F61" s="2" t="s">
        <v>549</v>
      </c>
    </row>
    <row r="62" spans="1:6">
      <c r="A62" s="3">
        <v>46521</v>
      </c>
      <c r="B62" s="4" t="s">
        <v>527</v>
      </c>
      <c r="C62" s="5" t="s">
        <v>556</v>
      </c>
      <c r="D62" s="5" t="s">
        <v>552</v>
      </c>
      <c r="E62" s="5" t="s">
        <v>566</v>
      </c>
      <c r="F62" s="5" t="s">
        <v>562</v>
      </c>
    </row>
    <row r="63" spans="1:6">
      <c r="A63" s="3">
        <v>46521</v>
      </c>
      <c r="B63" s="4" t="s">
        <v>532</v>
      </c>
      <c r="C63" s="5" t="s">
        <v>560</v>
      </c>
      <c r="D63" s="5" t="s">
        <v>555</v>
      </c>
      <c r="E63" s="5" t="s">
        <v>613</v>
      </c>
      <c r="F63" s="5" t="s">
        <v>561</v>
      </c>
    </row>
    <row r="64" spans="1:6">
      <c r="A64" s="6">
        <v>46528</v>
      </c>
      <c r="B64" s="7" t="s">
        <v>527</v>
      </c>
      <c r="C64" s="2" t="s">
        <v>564</v>
      </c>
      <c r="D64" s="2" t="s">
        <v>559</v>
      </c>
      <c r="E64" s="2" t="s">
        <v>567</v>
      </c>
      <c r="F64" s="2" t="s">
        <v>570</v>
      </c>
    </row>
    <row r="65" spans="1:6">
      <c r="A65" s="6">
        <v>46528</v>
      </c>
      <c r="B65" s="7" t="s">
        <v>532</v>
      </c>
      <c r="C65" s="2" t="s">
        <v>626</v>
      </c>
      <c r="D65" s="2" t="s">
        <v>569</v>
      </c>
      <c r="E65" s="2" t="s">
        <v>551</v>
      </c>
      <c r="F65" s="2" t="s">
        <v>573</v>
      </c>
    </row>
    <row r="66" spans="1:6">
      <c r="A66" s="3">
        <v>46535</v>
      </c>
      <c r="B66" s="4" t="s">
        <v>527</v>
      </c>
      <c r="C66" s="5" t="s">
        <v>620</v>
      </c>
      <c r="D66" s="5" t="s">
        <v>528</v>
      </c>
      <c r="E66" s="5" t="s">
        <v>619</v>
      </c>
      <c r="F66" s="5" t="s">
        <v>574</v>
      </c>
    </row>
    <row r="67" spans="1:6">
      <c r="A67" s="3">
        <v>46535</v>
      </c>
      <c r="B67" s="4" t="s">
        <v>532</v>
      </c>
      <c r="C67" s="5" t="s">
        <v>580</v>
      </c>
      <c r="D67" s="5" t="s">
        <v>591</v>
      </c>
      <c r="E67" s="5" t="s">
        <v>584</v>
      </c>
      <c r="F67" s="5" t="s">
        <v>625</v>
      </c>
    </row>
    <row r="68" spans="1:6">
      <c r="A68" s="6">
        <v>46542</v>
      </c>
      <c r="B68" s="7" t="s">
        <v>527</v>
      </c>
      <c r="C68" s="2" t="s">
        <v>595</v>
      </c>
      <c r="D68" s="2" t="s">
        <v>585</v>
      </c>
      <c r="E68" s="2" t="s">
        <v>597</v>
      </c>
      <c r="F68" s="2" t="s">
        <v>593</v>
      </c>
    </row>
    <row r="69" spans="1:6">
      <c r="A69" s="6">
        <v>46542</v>
      </c>
      <c r="B69" s="7" t="s">
        <v>532</v>
      </c>
      <c r="C69" s="2" t="s">
        <v>589</v>
      </c>
      <c r="D69" s="2" t="s">
        <v>582</v>
      </c>
      <c r="E69" s="2" t="s">
        <v>599</v>
      </c>
      <c r="F69" s="2" t="s">
        <v>590</v>
      </c>
    </row>
    <row r="70" spans="1:6">
      <c r="A70" s="3">
        <v>46556</v>
      </c>
      <c r="B70" s="4" t="s">
        <v>527</v>
      </c>
      <c r="C70" s="5" t="s">
        <v>627</v>
      </c>
      <c r="D70" s="5" t="s">
        <v>588</v>
      </c>
      <c r="E70" s="5" t="s">
        <v>581</v>
      </c>
      <c r="F70" s="5" t="s">
        <v>603</v>
      </c>
    </row>
    <row r="71" spans="1:6">
      <c r="A71" s="3">
        <v>46556</v>
      </c>
      <c r="B71" s="4" t="s">
        <v>532</v>
      </c>
      <c r="C71" s="5" t="s">
        <v>596</v>
      </c>
      <c r="D71" s="5" t="s">
        <v>594</v>
      </c>
      <c r="E71" s="5" t="s">
        <v>606</v>
      </c>
      <c r="F71" s="5" t="s">
        <v>602</v>
      </c>
    </row>
    <row r="72" spans="1:6">
      <c r="A72" s="6">
        <v>46563</v>
      </c>
      <c r="B72" s="7" t="s">
        <v>527</v>
      </c>
      <c r="C72" s="2" t="s">
        <v>601</v>
      </c>
      <c r="D72" s="2" t="s">
        <v>586</v>
      </c>
      <c r="E72" s="2" t="s">
        <v>607</v>
      </c>
      <c r="F72" s="2" t="s">
        <v>608</v>
      </c>
    </row>
    <row r="73" spans="1:6">
      <c r="A73" s="6">
        <v>46563</v>
      </c>
      <c r="B73" s="7" t="s">
        <v>532</v>
      </c>
      <c r="C73" s="2" t="s">
        <v>615</v>
      </c>
      <c r="D73" s="2" t="s">
        <v>592</v>
      </c>
      <c r="E73" s="2" t="s">
        <v>611</v>
      </c>
      <c r="F73" s="2" t="s">
        <v>614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9"/>
  <sheetViews>
    <sheetView rightToLeft="1" zoomScaleNormal="100" workbookViewId="0"/>
  </sheetViews>
  <sheetFormatPr defaultColWidth="8.7109375" defaultRowHeight="15"/>
  <sheetData>
    <row r="1" spans="1:6">
      <c r="A1" s="8" t="s">
        <v>629</v>
      </c>
      <c r="B1" s="8" t="s">
        <v>521</v>
      </c>
      <c r="C1" s="8" t="s">
        <v>630</v>
      </c>
      <c r="D1" s="8" t="s">
        <v>631</v>
      </c>
      <c r="E1" s="8" t="s">
        <v>522</v>
      </c>
      <c r="F1" s="8" t="s">
        <v>632</v>
      </c>
    </row>
    <row r="2" spans="1:6">
      <c r="A2" s="9" t="str">
        <f>'לוח הסעות מוצע'!C2</f>
        <v>דוידסון - רונן אנד/עמית</v>
      </c>
      <c r="B2" s="10">
        <f>'לוח הסעות מוצע'!A2</f>
        <v>46269</v>
      </c>
      <c r="C2" s="9">
        <f>COUNTIF($A$2:A2,A2)</f>
        <v>1</v>
      </c>
      <c r="D2" s="9" t="str">
        <f t="shared" ref="D2:D65" si="0">A2&amp;"|"&amp;C2</f>
        <v>דוידסון - רונן אנד/עמית|1</v>
      </c>
      <c r="E2" s="9" t="str">
        <f>'לוח הסעות מוצע'!B2</f>
        <v>בוקר</v>
      </c>
      <c r="F2" s="9" t="s">
        <v>633</v>
      </c>
    </row>
    <row r="3" spans="1:6">
      <c r="A3" s="9" t="str">
        <f>'לוח הסעות מוצע'!D2</f>
        <v>כהן - יהודה או/אסתי</v>
      </c>
      <c r="B3" s="10">
        <f>'לוח הסעות מוצע'!A2</f>
        <v>46269</v>
      </c>
      <c r="C3" s="9">
        <f>COUNTIF($A$2:A3,A3)</f>
        <v>1</v>
      </c>
      <c r="D3" s="9" t="str">
        <f t="shared" si="0"/>
        <v>כהן - יהודה או/אסתי|1</v>
      </c>
      <c r="E3" s="9" t="str">
        <f>'לוח הסעות מוצע'!B2</f>
        <v>בוקר</v>
      </c>
      <c r="F3" s="9" t="s">
        <v>633</v>
      </c>
    </row>
    <row r="4" spans="1:6">
      <c r="A4" s="9" t="str">
        <f>'לוח הסעות מוצע'!E2</f>
        <v>אפרתי - נעם/המיה</v>
      </c>
      <c r="B4" s="10">
        <f>'לוח הסעות מוצע'!A2</f>
        <v>46269</v>
      </c>
      <c r="C4" s="9">
        <f>COUNTIF($A$2:A4,A4)</f>
        <v>1</v>
      </c>
      <c r="D4" s="9" t="str">
        <f t="shared" si="0"/>
        <v>אפרתי - נעם/המיה|1</v>
      </c>
      <c r="E4" s="9" t="str">
        <f>'לוח הסעות מוצע'!B2</f>
        <v>בוקר</v>
      </c>
      <c r="F4" s="9" t="s">
        <v>633</v>
      </c>
    </row>
    <row r="5" spans="1:6">
      <c r="A5" s="9" t="str">
        <f>'לוח הסעות מוצע'!F2</f>
        <v>סקג'ו - איל/שירן</v>
      </c>
      <c r="B5" s="10">
        <f>'לוח הסעות מוצע'!A2</f>
        <v>46269</v>
      </c>
      <c r="C5" s="9">
        <f>COUNTIF($A$2:A5,A5)</f>
        <v>1</v>
      </c>
      <c r="D5" s="9" t="str">
        <f t="shared" si="0"/>
        <v>סקג'ו - איל/שירן|1</v>
      </c>
      <c r="E5" s="9" t="str">
        <f>'לוח הסעות מוצע'!B2</f>
        <v>בוקר</v>
      </c>
      <c r="F5" s="9" t="s">
        <v>634</v>
      </c>
    </row>
    <row r="6" spans="1:6">
      <c r="A6" s="9" t="str">
        <f>'לוח הסעות מוצע'!C3</f>
        <v>שטוטמן - יניר/ליאורה ר</v>
      </c>
      <c r="B6" s="10">
        <f>'לוח הסעות מוצע'!A3</f>
        <v>46269</v>
      </c>
      <c r="C6" s="9">
        <f>COUNTIF($A$2:A6,A6)</f>
        <v>1</v>
      </c>
      <c r="D6" s="9" t="str">
        <f t="shared" si="0"/>
        <v>שטוטמן - יניר/ליאורה ר|1</v>
      </c>
      <c r="E6" s="9" t="str">
        <f>'לוח הסעות מוצע'!B3</f>
        <v>צהריים</v>
      </c>
      <c r="F6" s="9" t="s">
        <v>633</v>
      </c>
    </row>
    <row r="7" spans="1:6">
      <c r="A7" s="9" t="str">
        <f>'לוח הסעות מוצע'!D3</f>
        <v>בן יוסף - יפתח/נטלי</v>
      </c>
      <c r="B7" s="10">
        <f>'לוח הסעות מוצע'!A3</f>
        <v>46269</v>
      </c>
      <c r="C7" s="9">
        <f>COUNTIF($A$2:A7,A7)</f>
        <v>1</v>
      </c>
      <c r="D7" s="9" t="str">
        <f t="shared" si="0"/>
        <v>בן יוסף - יפתח/נטלי|1</v>
      </c>
      <c r="E7" s="9" t="str">
        <f>'לוח הסעות מוצע'!B3</f>
        <v>צהריים</v>
      </c>
      <c r="F7" s="9" t="s">
        <v>633</v>
      </c>
    </row>
    <row r="8" spans="1:6">
      <c r="A8" s="9" t="str">
        <f>'לוח הסעות מוצע'!E3</f>
        <v>נאור - אחיקם/ליטל</v>
      </c>
      <c r="B8" s="10">
        <f>'לוח הסעות מוצע'!A3</f>
        <v>46269</v>
      </c>
      <c r="C8" s="9">
        <f>COUNTIF($A$2:A8,A8)</f>
        <v>1</v>
      </c>
      <c r="D8" s="9" t="str">
        <f t="shared" si="0"/>
        <v>נאור - אחיקם/ליטל|1</v>
      </c>
      <c r="E8" s="9" t="str">
        <f>'לוח הסעות מוצע'!B3</f>
        <v>צהריים</v>
      </c>
      <c r="F8" s="9" t="s">
        <v>633</v>
      </c>
    </row>
    <row r="9" spans="1:6">
      <c r="A9" s="9" t="str">
        <f>'לוח הסעות מוצע'!F3</f>
        <v>ירון - איתמר/יעל</v>
      </c>
      <c r="B9" s="10">
        <f>'לוח הסעות מוצע'!A3</f>
        <v>46269</v>
      </c>
      <c r="C9" s="9">
        <f>COUNTIF($A$2:A9,A9)</f>
        <v>1</v>
      </c>
      <c r="D9" s="9" t="str">
        <f t="shared" si="0"/>
        <v>ירון - איתמר/יעל|1</v>
      </c>
      <c r="E9" s="9" t="str">
        <f>'לוח הסעות מוצע'!B3</f>
        <v>צהריים</v>
      </c>
      <c r="F9" s="9" t="s">
        <v>634</v>
      </c>
    </row>
    <row r="10" spans="1:6">
      <c r="A10" s="9" t="str">
        <f>'לוח הסעות מוצע'!C4</f>
        <v>פרץ - דניאל/נואי</v>
      </c>
      <c r="B10" s="10">
        <f>'לוח הסעות מוצע'!A4</f>
        <v>46283</v>
      </c>
      <c r="C10" s="9">
        <f>COUNTIF($A$2:A10,A10)</f>
        <v>1</v>
      </c>
      <c r="D10" s="9" t="str">
        <f t="shared" si="0"/>
        <v>פרץ - דניאל/נואי|1</v>
      </c>
      <c r="E10" s="9" t="str">
        <f>'לוח הסעות מוצע'!B4</f>
        <v>בוקר</v>
      </c>
      <c r="F10" s="9" t="s">
        <v>633</v>
      </c>
    </row>
    <row r="11" spans="1:6">
      <c r="A11" s="9" t="str">
        <f>'לוח הסעות מוצע'!D4</f>
        <v>פרילוצקי - רומן ישר/אינה</v>
      </c>
      <c r="B11" s="10">
        <f>'לוח הסעות מוצע'!A4</f>
        <v>46283</v>
      </c>
      <c r="C11" s="9">
        <f>COUNTIF($A$2:A11,A11)</f>
        <v>1</v>
      </c>
      <c r="D11" s="9" t="str">
        <f t="shared" si="0"/>
        <v>פרילוצקי - רומן ישר/אינה|1</v>
      </c>
      <c r="E11" s="9" t="str">
        <f>'לוח הסעות מוצע'!B4</f>
        <v>בוקר</v>
      </c>
      <c r="F11" s="9" t="s">
        <v>633</v>
      </c>
    </row>
    <row r="12" spans="1:6">
      <c r="A12" s="9" t="str">
        <f>'לוח הסעות מוצע'!E4</f>
        <v>ויסברג - איתי/איילת צי</v>
      </c>
      <c r="B12" s="10">
        <f>'לוח הסעות מוצע'!A4</f>
        <v>46283</v>
      </c>
      <c r="C12" s="9">
        <f>COUNTIF($A$2:A12,A12)</f>
        <v>1</v>
      </c>
      <c r="D12" s="9" t="str">
        <f t="shared" si="0"/>
        <v>ויסברג - איתי/איילת צי|1</v>
      </c>
      <c r="E12" s="9" t="str">
        <f>'לוח הסעות מוצע'!B4</f>
        <v>בוקר</v>
      </c>
      <c r="F12" s="9" t="s">
        <v>633</v>
      </c>
    </row>
    <row r="13" spans="1:6">
      <c r="A13" s="9" t="str">
        <f>'לוח הסעות מוצע'!F4</f>
        <v>פונגסידה עלמא - סאווירט/שי</v>
      </c>
      <c r="B13" s="10">
        <f>'לוח הסעות מוצע'!A4</f>
        <v>46283</v>
      </c>
      <c r="C13" s="9">
        <f>COUNTIF($A$2:A13,A13)</f>
        <v>1</v>
      </c>
      <c r="D13" s="9" t="str">
        <f t="shared" si="0"/>
        <v>פונגסידה עלמא - סאווירט/שי|1</v>
      </c>
      <c r="E13" s="9" t="str">
        <f>'לוח הסעות מוצע'!B4</f>
        <v>בוקר</v>
      </c>
      <c r="F13" s="9" t="s">
        <v>634</v>
      </c>
    </row>
    <row r="14" spans="1:6">
      <c r="A14" s="9" t="str">
        <f>'לוח הסעות מוצע'!C5</f>
        <v>בשן - חנן/שרון</v>
      </c>
      <c r="B14" s="10">
        <f>'לוח הסעות מוצע'!A5</f>
        <v>46283</v>
      </c>
      <c r="C14" s="9">
        <f>COUNTIF($A$2:A14,A14)</f>
        <v>1</v>
      </c>
      <c r="D14" s="9" t="str">
        <f t="shared" si="0"/>
        <v>בשן - חנן/שרון|1</v>
      </c>
      <c r="E14" s="9" t="str">
        <f>'לוח הסעות מוצע'!B5</f>
        <v>צהריים</v>
      </c>
      <c r="F14" s="9" t="s">
        <v>633</v>
      </c>
    </row>
    <row r="15" spans="1:6">
      <c r="A15" s="9" t="str">
        <f>'לוח הסעות מוצע'!D5</f>
        <v>חזן - גיא/נועה סול</v>
      </c>
      <c r="B15" s="10">
        <f>'לוח הסעות מוצע'!A5</f>
        <v>46283</v>
      </c>
      <c r="C15" s="9">
        <f>COUNTIF($A$2:A15,A15)</f>
        <v>1</v>
      </c>
      <c r="D15" s="9" t="str">
        <f t="shared" si="0"/>
        <v>חזן - גיא/נועה סול|1</v>
      </c>
      <c r="E15" s="9" t="str">
        <f>'לוח הסעות מוצע'!B5</f>
        <v>צהריים</v>
      </c>
      <c r="F15" s="9" t="s">
        <v>633</v>
      </c>
    </row>
    <row r="16" spans="1:6">
      <c r="A16" s="9" t="str">
        <f>'לוח הסעות מוצע'!E5</f>
        <v>ז'נסקר פז - אדוארד/הילה</v>
      </c>
      <c r="B16" s="10">
        <f>'לוח הסעות מוצע'!A5</f>
        <v>46283</v>
      </c>
      <c r="C16" s="9">
        <f>COUNTIF($A$2:A16,A16)</f>
        <v>1</v>
      </c>
      <c r="D16" s="9" t="str">
        <f t="shared" si="0"/>
        <v>ז'נסקר פז - אדוארד/הילה|1</v>
      </c>
      <c r="E16" s="9" t="str">
        <f>'לוח הסעות מוצע'!B5</f>
        <v>צהריים</v>
      </c>
      <c r="F16" s="9" t="s">
        <v>633</v>
      </c>
    </row>
    <row r="17" spans="1:6">
      <c r="A17" s="9" t="str">
        <f>'לוח הסעות מוצע'!F5</f>
        <v>רבינס - רונן/מאיה</v>
      </c>
      <c r="B17" s="10">
        <f>'לוח הסעות מוצע'!A5</f>
        <v>46283</v>
      </c>
      <c r="C17" s="9">
        <f>COUNTIF($A$2:A17,A17)</f>
        <v>1</v>
      </c>
      <c r="D17" s="9" t="str">
        <f t="shared" si="0"/>
        <v>רבינס - רונן/מאיה|1</v>
      </c>
      <c r="E17" s="9" t="str">
        <f>'לוח הסעות מוצע'!B5</f>
        <v>צהריים</v>
      </c>
      <c r="F17" s="9" t="s">
        <v>634</v>
      </c>
    </row>
    <row r="18" spans="1:6">
      <c r="A18" s="9" t="str">
        <f>'לוח הסעות מוצע'!C6</f>
        <v>גבע - ים/מיטל אליס</v>
      </c>
      <c r="B18" s="10">
        <f>'לוח הסעות מוצע'!A6</f>
        <v>46304</v>
      </c>
      <c r="C18" s="9">
        <f>COUNTIF($A$2:A18,A18)</f>
        <v>1</v>
      </c>
      <c r="D18" s="9" t="str">
        <f t="shared" si="0"/>
        <v>גבע - ים/מיטל אליס|1</v>
      </c>
      <c r="E18" s="9" t="str">
        <f>'לוח הסעות מוצע'!B6</f>
        <v>בוקר</v>
      </c>
      <c r="F18" s="9" t="s">
        <v>633</v>
      </c>
    </row>
    <row r="19" spans="1:6">
      <c r="A19" s="9" t="str">
        <f>'לוח הסעות מוצע'!D6</f>
        <v>טל - דרור/אלינור</v>
      </c>
      <c r="B19" s="10">
        <f>'לוח הסעות מוצע'!A6</f>
        <v>46304</v>
      </c>
      <c r="C19" s="9">
        <f>COUNTIF($A$2:A19,A19)</f>
        <v>1</v>
      </c>
      <c r="D19" s="9" t="str">
        <f t="shared" si="0"/>
        <v>טל - דרור/אלינור|1</v>
      </c>
      <c r="E19" s="9" t="str">
        <f>'לוח הסעות מוצע'!B6</f>
        <v>בוקר</v>
      </c>
      <c r="F19" s="9" t="s">
        <v>633</v>
      </c>
    </row>
    <row r="20" spans="1:6">
      <c r="A20" s="9" t="str">
        <f>'לוח הסעות מוצע'!E6</f>
        <v>כהן - עפר/יעל</v>
      </c>
      <c r="B20" s="10">
        <f>'לוח הסעות מוצע'!A6</f>
        <v>46304</v>
      </c>
      <c r="C20" s="9">
        <f>COUNTIF($A$2:A20,A20)</f>
        <v>1</v>
      </c>
      <c r="D20" s="9" t="str">
        <f t="shared" si="0"/>
        <v>כהן - עפר/יעל|1</v>
      </c>
      <c r="E20" s="9" t="str">
        <f>'לוח הסעות מוצע'!B6</f>
        <v>בוקר</v>
      </c>
      <c r="F20" s="9" t="s">
        <v>633</v>
      </c>
    </row>
    <row r="21" spans="1:6">
      <c r="A21" s="9" t="str">
        <f>'לוח הסעות מוצע'!F6</f>
        <v>שראייר - יואב/שירן טובה</v>
      </c>
      <c r="B21" s="10">
        <f>'לוח הסעות מוצע'!A6</f>
        <v>46304</v>
      </c>
      <c r="C21" s="9">
        <f>COUNTIF($A$2:A21,A21)</f>
        <v>1</v>
      </c>
      <c r="D21" s="9" t="str">
        <f t="shared" si="0"/>
        <v>שראייר - יואב/שירן טובה|1</v>
      </c>
      <c r="E21" s="9" t="str">
        <f>'לוח הסעות מוצע'!B6</f>
        <v>בוקר</v>
      </c>
      <c r="F21" s="9" t="s">
        <v>634</v>
      </c>
    </row>
    <row r="22" spans="1:6">
      <c r="A22" s="9" t="str">
        <f>'לוח הסעות מוצע'!C7</f>
        <v>פוגל יצחקי - שלומי/מיכל</v>
      </c>
      <c r="B22" s="10">
        <f>'לוח הסעות מוצע'!A7</f>
        <v>46304</v>
      </c>
      <c r="C22" s="9">
        <f>COUNTIF($A$2:A22,A22)</f>
        <v>1</v>
      </c>
      <c r="D22" s="9" t="str">
        <f t="shared" si="0"/>
        <v>פוגל יצחקי - שלומי/מיכל|1</v>
      </c>
      <c r="E22" s="9" t="str">
        <f>'לוח הסעות מוצע'!B7</f>
        <v>צהריים</v>
      </c>
      <c r="F22" s="9" t="s">
        <v>633</v>
      </c>
    </row>
    <row r="23" spans="1:6">
      <c r="A23" s="9" t="str">
        <f>'לוח הסעות מוצע'!D7</f>
        <v>איאש - אביתר/מיכל</v>
      </c>
      <c r="B23" s="10">
        <f>'לוח הסעות מוצע'!A7</f>
        <v>46304</v>
      </c>
      <c r="C23" s="9">
        <f>COUNTIF($A$2:A23,A23)</f>
        <v>1</v>
      </c>
      <c r="D23" s="9" t="str">
        <f t="shared" si="0"/>
        <v>איאש - אביתר/מיכל|1</v>
      </c>
      <c r="E23" s="9" t="str">
        <f>'לוח הסעות מוצע'!B7</f>
        <v>צהריים</v>
      </c>
      <c r="F23" s="9" t="s">
        <v>633</v>
      </c>
    </row>
    <row r="24" spans="1:6">
      <c r="A24" s="9" t="str">
        <f>'לוח הסעות מוצע'!E7</f>
        <v>פרי - שלומי/איסי לי</v>
      </c>
      <c r="B24" s="10">
        <f>'לוח הסעות מוצע'!A7</f>
        <v>46304</v>
      </c>
      <c r="C24" s="9">
        <f>COUNTIF($A$2:A24,A24)</f>
        <v>1</v>
      </c>
      <c r="D24" s="9" t="str">
        <f t="shared" si="0"/>
        <v>פרי - שלומי/איסי לי|1</v>
      </c>
      <c r="E24" s="9" t="str">
        <f>'לוח הסעות מוצע'!B7</f>
        <v>צהריים</v>
      </c>
      <c r="F24" s="9" t="s">
        <v>633</v>
      </c>
    </row>
    <row r="25" spans="1:6">
      <c r="A25" s="9" t="str">
        <f>'לוח הסעות מוצע'!F7</f>
        <v>פרידמן אהרון - עודד/מיכל</v>
      </c>
      <c r="B25" s="10">
        <f>'לוח הסעות מוצע'!A7</f>
        <v>46304</v>
      </c>
      <c r="C25" s="9">
        <f>COUNTIF($A$2:A25,A25)</f>
        <v>1</v>
      </c>
      <c r="D25" s="9" t="str">
        <f t="shared" si="0"/>
        <v>פרידמן אהרון - עודד/מיכל|1</v>
      </c>
      <c r="E25" s="9" t="str">
        <f>'לוח הסעות מוצע'!B7</f>
        <v>צהריים</v>
      </c>
      <c r="F25" s="9" t="s">
        <v>634</v>
      </c>
    </row>
    <row r="26" spans="1:6">
      <c r="A26" s="9" t="str">
        <f>'לוח הסעות מוצע'!C8</f>
        <v>סקג'ו - איל/שירן</v>
      </c>
      <c r="B26" s="10">
        <f>'לוח הסעות מוצע'!A8</f>
        <v>46311</v>
      </c>
      <c r="C26" s="9">
        <f>COUNTIF($A$2:A26,A26)</f>
        <v>2</v>
      </c>
      <c r="D26" s="9" t="str">
        <f t="shared" si="0"/>
        <v>סקג'ו - איל/שירן|2</v>
      </c>
      <c r="E26" s="9" t="str">
        <f>'לוח הסעות מוצע'!B8</f>
        <v>בוקר</v>
      </c>
      <c r="F26" s="9" t="s">
        <v>633</v>
      </c>
    </row>
    <row r="27" spans="1:6">
      <c r="A27" s="9" t="str">
        <f>'לוח הסעות מוצע'!D8</f>
        <v>הדס - אלדד/אנה</v>
      </c>
      <c r="B27" s="10">
        <f>'לוח הסעות מוצע'!A8</f>
        <v>46311</v>
      </c>
      <c r="C27" s="9">
        <f>COUNTIF($A$2:A27,A27)</f>
        <v>1</v>
      </c>
      <c r="D27" s="9" t="str">
        <f t="shared" si="0"/>
        <v>הדס - אלדד/אנה|1</v>
      </c>
      <c r="E27" s="9" t="str">
        <f>'לוח הסעות מוצע'!B8</f>
        <v>בוקר</v>
      </c>
      <c r="F27" s="9" t="s">
        <v>633</v>
      </c>
    </row>
    <row r="28" spans="1:6">
      <c r="A28" s="9" t="str">
        <f>'לוח הסעות מוצע'!E8</f>
        <v>חדד - משה/רחל</v>
      </c>
      <c r="B28" s="10">
        <f>'לוח הסעות מוצע'!A8</f>
        <v>46311</v>
      </c>
      <c r="C28" s="9">
        <f>COUNTIF($A$2:A28,A28)</f>
        <v>1</v>
      </c>
      <c r="D28" s="9" t="str">
        <f t="shared" si="0"/>
        <v>חדד - משה/רחל|1</v>
      </c>
      <c r="E28" s="9" t="str">
        <f>'לוח הסעות מוצע'!B8</f>
        <v>בוקר</v>
      </c>
      <c r="F28" s="9" t="s">
        <v>633</v>
      </c>
    </row>
    <row r="29" spans="1:6">
      <c r="A29" s="9" t="str">
        <f>'לוח הסעות מוצע'!F8</f>
        <v>שדמי חיון - ליאור/רוני</v>
      </c>
      <c r="B29" s="10">
        <f>'לוח הסעות מוצע'!A8</f>
        <v>46311</v>
      </c>
      <c r="C29" s="9">
        <f>COUNTIF($A$2:A29,A29)</f>
        <v>1</v>
      </c>
      <c r="D29" s="9" t="str">
        <f t="shared" si="0"/>
        <v>שדמי חיון - ליאור/רוני|1</v>
      </c>
      <c r="E29" s="9" t="str">
        <f>'לוח הסעות מוצע'!B8</f>
        <v>בוקר</v>
      </c>
      <c r="F29" s="9" t="s">
        <v>634</v>
      </c>
    </row>
    <row r="30" spans="1:6">
      <c r="A30" s="9" t="str">
        <f>'לוח הסעות מוצע'!C9</f>
        <v>להב - ערן (דוד/יערה</v>
      </c>
      <c r="B30" s="10">
        <f>'לוח הסעות מוצע'!A9</f>
        <v>46311</v>
      </c>
      <c r="C30" s="9">
        <f>COUNTIF($A$2:A30,A30)</f>
        <v>1</v>
      </c>
      <c r="D30" s="9" t="str">
        <f t="shared" si="0"/>
        <v>להב - ערן (דוד/יערה|1</v>
      </c>
      <c r="E30" s="9" t="str">
        <f>'לוח הסעות מוצע'!B9</f>
        <v>צהריים</v>
      </c>
      <c r="F30" s="9" t="s">
        <v>633</v>
      </c>
    </row>
    <row r="31" spans="1:6">
      <c r="A31" s="9" t="str">
        <f>'לוח הסעות מוצע'!D9</f>
        <v>קלפון - אליאב/אורית</v>
      </c>
      <c r="B31" s="10">
        <f>'לוח הסעות מוצע'!A9</f>
        <v>46311</v>
      </c>
      <c r="C31" s="9">
        <f>COUNTIF($A$2:A31,A31)</f>
        <v>1</v>
      </c>
      <c r="D31" s="9" t="str">
        <f t="shared" si="0"/>
        <v>קלפון - אליאב/אורית|1</v>
      </c>
      <c r="E31" s="9" t="str">
        <f>'לוח הסעות מוצע'!B9</f>
        <v>צהריים</v>
      </c>
      <c r="F31" s="9" t="s">
        <v>633</v>
      </c>
    </row>
    <row r="32" spans="1:6">
      <c r="A32" s="9" t="str">
        <f>'לוח הסעות מוצע'!E9</f>
        <v>בן דור - עומר טל</v>
      </c>
      <c r="B32" s="10">
        <f>'לוח הסעות מוצע'!A9</f>
        <v>46311</v>
      </c>
      <c r="C32" s="9">
        <f>COUNTIF($A$2:A32,A32)</f>
        <v>1</v>
      </c>
      <c r="D32" s="9" t="str">
        <f t="shared" si="0"/>
        <v>בן דור - עומר טל|1</v>
      </c>
      <c r="E32" s="9" t="str">
        <f>'לוח הסעות מוצע'!B9</f>
        <v>צהריים</v>
      </c>
      <c r="F32" s="9" t="s">
        <v>633</v>
      </c>
    </row>
    <row r="33" spans="1:6">
      <c r="A33" s="9" t="str">
        <f>'לוח הסעות מוצע'!F9</f>
        <v>פארן - נוה/אפרת</v>
      </c>
      <c r="B33" s="10">
        <f>'לוח הסעות מוצע'!A9</f>
        <v>46311</v>
      </c>
      <c r="C33" s="9">
        <f>COUNTIF($A$2:A33,A33)</f>
        <v>1</v>
      </c>
      <c r="D33" s="9" t="str">
        <f t="shared" si="0"/>
        <v>פארן - נוה/אפרת|1</v>
      </c>
      <c r="E33" s="9" t="str">
        <f>'לוח הסעות מוצע'!B9</f>
        <v>צהריים</v>
      </c>
      <c r="F33" s="9" t="s">
        <v>634</v>
      </c>
    </row>
    <row r="34" spans="1:6">
      <c r="A34" s="9" t="str">
        <f>'לוח הסעות מוצע'!C10</f>
        <v>גולדפרב - שימי/אורטל</v>
      </c>
      <c r="B34" s="10">
        <f>'לוח הסעות מוצע'!A10</f>
        <v>46318</v>
      </c>
      <c r="C34" s="9">
        <f>COUNTIF($A$2:A34,A34)</f>
        <v>1</v>
      </c>
      <c r="D34" s="9" t="str">
        <f t="shared" si="0"/>
        <v>גולדפרב - שימי/אורטל|1</v>
      </c>
      <c r="E34" s="9" t="str">
        <f>'לוח הסעות מוצע'!B10</f>
        <v>בוקר</v>
      </c>
      <c r="F34" s="9" t="s">
        <v>633</v>
      </c>
    </row>
    <row r="35" spans="1:6">
      <c r="A35" s="9" t="str">
        <f>'לוח הסעות מוצע'!D10</f>
        <v>בירקנפלד - גל/לילי</v>
      </c>
      <c r="B35" s="10">
        <f>'לוח הסעות מוצע'!A10</f>
        <v>46318</v>
      </c>
      <c r="C35" s="9">
        <f>COUNTIF($A$2:A35,A35)</f>
        <v>1</v>
      </c>
      <c r="D35" s="9" t="str">
        <f t="shared" si="0"/>
        <v>בירקנפלד - גל/לילי|1</v>
      </c>
      <c r="E35" s="9" t="str">
        <f>'לוח הסעות מוצע'!B10</f>
        <v>בוקר</v>
      </c>
      <c r="F35" s="9" t="s">
        <v>633</v>
      </c>
    </row>
    <row r="36" spans="1:6">
      <c r="A36" s="9" t="str">
        <f>'לוח הסעות מוצע'!E10</f>
        <v>יצחקי - אהוד/מורן</v>
      </c>
      <c r="B36" s="10">
        <f>'לוח הסעות מוצע'!A10</f>
        <v>46318</v>
      </c>
      <c r="C36" s="9">
        <f>COUNTIF($A$2:A36,A36)</f>
        <v>1</v>
      </c>
      <c r="D36" s="9" t="str">
        <f t="shared" si="0"/>
        <v>יצחקי - אהוד/מורן|1</v>
      </c>
      <c r="E36" s="9" t="str">
        <f>'לוח הסעות מוצע'!B10</f>
        <v>בוקר</v>
      </c>
      <c r="F36" s="9" t="s">
        <v>633</v>
      </c>
    </row>
    <row r="37" spans="1:6">
      <c r="A37" s="9" t="str">
        <f>'לוח הסעות מוצע'!F10</f>
        <v>שואף - נדב/ציפי</v>
      </c>
      <c r="B37" s="10">
        <f>'לוח הסעות מוצע'!A10</f>
        <v>46318</v>
      </c>
      <c r="C37" s="9">
        <f>COUNTIF($A$2:A37,A37)</f>
        <v>1</v>
      </c>
      <c r="D37" s="9" t="str">
        <f t="shared" si="0"/>
        <v>שואף - נדב/ציפי|1</v>
      </c>
      <c r="E37" s="9" t="str">
        <f>'לוח הסעות מוצע'!B10</f>
        <v>בוקר</v>
      </c>
      <c r="F37" s="9" t="s">
        <v>634</v>
      </c>
    </row>
    <row r="38" spans="1:6">
      <c r="A38" s="9" t="str">
        <f>'לוח הסעות מוצע'!C11</f>
        <v>בנימין - יונתן לואיס/הדס</v>
      </c>
      <c r="B38" s="10">
        <f>'לוח הסעות מוצע'!A11</f>
        <v>46318</v>
      </c>
      <c r="C38" s="9">
        <f>COUNTIF($A$2:A38,A38)</f>
        <v>1</v>
      </c>
      <c r="D38" s="9" t="str">
        <f t="shared" si="0"/>
        <v>בנימין - יונתן לואיס/הדס|1</v>
      </c>
      <c r="E38" s="9" t="str">
        <f>'לוח הסעות מוצע'!B11</f>
        <v>צהריים</v>
      </c>
      <c r="F38" s="9" t="s">
        <v>633</v>
      </c>
    </row>
    <row r="39" spans="1:6">
      <c r="A39" s="9" t="str">
        <f>'לוח הסעות מוצע'!D11</f>
        <v>מולכו - נועם/אנטל</v>
      </c>
      <c r="B39" s="10">
        <f>'לוח הסעות מוצע'!A11</f>
        <v>46318</v>
      </c>
      <c r="C39" s="9">
        <f>COUNTIF($A$2:A39,A39)</f>
        <v>1</v>
      </c>
      <c r="D39" s="9" t="str">
        <f t="shared" si="0"/>
        <v>מולכו - נועם/אנטל|1</v>
      </c>
      <c r="E39" s="9" t="str">
        <f>'לוח הסעות מוצע'!B11</f>
        <v>צהריים</v>
      </c>
      <c r="F39" s="9" t="s">
        <v>633</v>
      </c>
    </row>
    <row r="40" spans="1:6">
      <c r="A40" s="9" t="str">
        <f>'לוח הסעות מוצע'!E11</f>
        <v>גור - ינון/מיטל</v>
      </c>
      <c r="B40" s="10">
        <f>'לוח הסעות מוצע'!A11</f>
        <v>46318</v>
      </c>
      <c r="C40" s="9">
        <f>COUNTIF($A$2:A40,A40)</f>
        <v>1</v>
      </c>
      <c r="D40" s="9" t="str">
        <f t="shared" si="0"/>
        <v>גור - ינון/מיטל|1</v>
      </c>
      <c r="E40" s="9" t="str">
        <f>'לוח הסעות מוצע'!B11</f>
        <v>צהריים</v>
      </c>
      <c r="F40" s="9" t="s">
        <v>633</v>
      </c>
    </row>
    <row r="41" spans="1:6">
      <c r="A41" s="9" t="str">
        <f>'לוח הסעות מוצע'!F11</f>
        <v>ברטוב - שי/אורלי דב</v>
      </c>
      <c r="B41" s="10">
        <f>'לוח הסעות מוצע'!A11</f>
        <v>46318</v>
      </c>
      <c r="C41" s="9">
        <f>COUNTIF($A$2:A41,A41)</f>
        <v>1</v>
      </c>
      <c r="D41" s="9" t="str">
        <f t="shared" si="0"/>
        <v>ברטוב - שי/אורלי דב|1</v>
      </c>
      <c r="E41" s="9" t="str">
        <f>'לוח הסעות מוצע'!B11</f>
        <v>צהריים</v>
      </c>
      <c r="F41" s="9" t="s">
        <v>634</v>
      </c>
    </row>
    <row r="42" spans="1:6">
      <c r="A42" s="9" t="str">
        <f>'לוח הסעות מוצע'!C12</f>
        <v>פרידמן - ברק/שניר</v>
      </c>
      <c r="B42" s="10">
        <f>'לוח הסעות מוצע'!A12</f>
        <v>46325</v>
      </c>
      <c r="C42" s="9">
        <f>COUNTIF($A$2:A42,A42)</f>
        <v>1</v>
      </c>
      <c r="D42" s="9" t="str">
        <f t="shared" si="0"/>
        <v>פרידמן - ברק/שניר|1</v>
      </c>
      <c r="E42" s="9" t="str">
        <f>'לוח הסעות מוצע'!B12</f>
        <v>בוקר</v>
      </c>
      <c r="F42" s="9" t="s">
        <v>633</v>
      </c>
    </row>
    <row r="43" spans="1:6">
      <c r="A43" s="9" t="str">
        <f>'לוח הסעות מוצע'!D12</f>
        <v>אפללו - יגאל/אפרת</v>
      </c>
      <c r="B43" s="10">
        <f>'לוח הסעות מוצע'!A12</f>
        <v>46325</v>
      </c>
      <c r="C43" s="9">
        <f>COUNTIF($A$2:A43,A43)</f>
        <v>1</v>
      </c>
      <c r="D43" s="9" t="str">
        <f t="shared" si="0"/>
        <v>אפללו - יגאל/אפרת|1</v>
      </c>
      <c r="E43" s="9" t="str">
        <f>'לוח הסעות מוצע'!B12</f>
        <v>בוקר</v>
      </c>
      <c r="F43" s="9" t="s">
        <v>633</v>
      </c>
    </row>
    <row r="44" spans="1:6">
      <c r="A44" s="9" t="e">
        <f>'לוח הסעות מוצע'!#REF!</f>
        <v>#REF!</v>
      </c>
      <c r="B44" s="10">
        <f>'לוח הסעות מוצע'!A12</f>
        <v>46325</v>
      </c>
      <c r="C44" s="9">
        <f>COUNTIF($A$2:A44,A44)</f>
        <v>1</v>
      </c>
      <c r="D44" s="9" t="e">
        <f t="shared" si="0"/>
        <v>#REF!</v>
      </c>
      <c r="E44" s="9" t="str">
        <f>'לוח הסעות מוצע'!B12</f>
        <v>בוקר</v>
      </c>
      <c r="F44" s="9" t="s">
        <v>633</v>
      </c>
    </row>
    <row r="45" spans="1:6">
      <c r="A45" s="9" t="str">
        <f>'לוח הסעות מוצע'!F12</f>
        <v>בנאי - אהוד/הדר</v>
      </c>
      <c r="B45" s="10">
        <f>'לוח הסעות מוצע'!A12</f>
        <v>46325</v>
      </c>
      <c r="C45" s="9">
        <f>COUNTIF($A$2:A45,A45)</f>
        <v>1</v>
      </c>
      <c r="D45" s="9" t="str">
        <f t="shared" si="0"/>
        <v>בנאי - אהוד/הדר|1</v>
      </c>
      <c r="E45" s="9" t="str">
        <f>'לוח הסעות מוצע'!B12</f>
        <v>בוקר</v>
      </c>
      <c r="F45" s="9" t="s">
        <v>634</v>
      </c>
    </row>
    <row r="46" spans="1:6">
      <c r="A46" s="9" t="str">
        <f>'לוח הסעות מוצע'!C13</f>
        <v>גוטמן - נמרוד/אפרת</v>
      </c>
      <c r="B46" s="10">
        <f>'לוח הסעות מוצע'!A13</f>
        <v>46325</v>
      </c>
      <c r="C46" s="9">
        <f>COUNTIF($A$2:A46,A46)</f>
        <v>1</v>
      </c>
      <c r="D46" s="9" t="str">
        <f t="shared" si="0"/>
        <v>גוטמן - נמרוד/אפרת|1</v>
      </c>
      <c r="E46" s="9" t="str">
        <f>'לוח הסעות מוצע'!B13</f>
        <v>צהריים</v>
      </c>
      <c r="F46" s="9" t="s">
        <v>633</v>
      </c>
    </row>
    <row r="47" spans="1:6">
      <c r="A47" s="9" t="str">
        <f>'לוח הסעות מוצע'!D13</f>
        <v>דוידי - יגאל/הילה</v>
      </c>
      <c r="B47" s="10">
        <f>'לוח הסעות מוצע'!A13</f>
        <v>46325</v>
      </c>
      <c r="C47" s="9">
        <f>COUNTIF($A$2:A47,A47)</f>
        <v>1</v>
      </c>
      <c r="D47" s="9" t="str">
        <f t="shared" si="0"/>
        <v>דוידי - יגאל/הילה|1</v>
      </c>
      <c r="E47" s="9" t="str">
        <f>'לוח הסעות מוצע'!B13</f>
        <v>צהריים</v>
      </c>
      <c r="F47" s="9" t="s">
        <v>633</v>
      </c>
    </row>
    <row r="48" spans="1:6">
      <c r="A48" s="9" t="str">
        <f>'לוח הסעות מוצע'!E13</f>
        <v>גונן - לירון/אולגה</v>
      </c>
      <c r="B48" s="10">
        <f>'לוח הסעות מוצע'!A13</f>
        <v>46325</v>
      </c>
      <c r="C48" s="9">
        <f>COUNTIF($A$2:A48,A48)</f>
        <v>1</v>
      </c>
      <c r="D48" s="9" t="str">
        <f t="shared" si="0"/>
        <v>גונן - לירון/אולגה|1</v>
      </c>
      <c r="E48" s="9" t="str">
        <f>'לוח הסעות מוצע'!B13</f>
        <v>צהריים</v>
      </c>
      <c r="F48" s="9" t="s">
        <v>633</v>
      </c>
    </row>
    <row r="49" spans="1:6">
      <c r="A49" s="9" t="str">
        <f>'לוח הסעות מוצע'!F13</f>
        <v>כהן - מתן/רותם</v>
      </c>
      <c r="B49" s="10">
        <f>'לוח הסעות מוצע'!A13</f>
        <v>46325</v>
      </c>
      <c r="C49" s="9">
        <f>COUNTIF($A$2:A49,A49)</f>
        <v>1</v>
      </c>
      <c r="D49" s="9" t="str">
        <f t="shared" si="0"/>
        <v>כהן - מתן/רותם|1</v>
      </c>
      <c r="E49" s="9" t="str">
        <f>'לוח הסעות מוצע'!B13</f>
        <v>צהריים</v>
      </c>
      <c r="F49" s="9" t="s">
        <v>634</v>
      </c>
    </row>
    <row r="50" spans="1:6">
      <c r="A50" s="9" t="str">
        <f>'לוח הסעות מוצע'!C14</f>
        <v>קרואני - שגיא/דנה</v>
      </c>
      <c r="B50" s="10">
        <f>'לוח הסעות מוצע'!A14</f>
        <v>46332</v>
      </c>
      <c r="C50" s="9">
        <f>COUNTIF($A$2:A50,A50)</f>
        <v>1</v>
      </c>
      <c r="D50" s="9" t="str">
        <f t="shared" si="0"/>
        <v>קרואני - שגיא/דנה|1</v>
      </c>
      <c r="E50" s="9" t="str">
        <f>'לוח הסעות מוצע'!B14</f>
        <v>בוקר</v>
      </c>
      <c r="F50" s="9" t="s">
        <v>633</v>
      </c>
    </row>
    <row r="51" spans="1:6">
      <c r="A51" s="9" t="str">
        <f>'לוח הסעות מוצע'!D14</f>
        <v>לוין - ליאור/ברית</v>
      </c>
      <c r="B51" s="10">
        <f>'לוח הסעות מוצע'!A14</f>
        <v>46332</v>
      </c>
      <c r="C51" s="9">
        <f>COUNTIF($A$2:A51,A51)</f>
        <v>1</v>
      </c>
      <c r="D51" s="9" t="str">
        <f t="shared" si="0"/>
        <v>לוין - ליאור/ברית|1</v>
      </c>
      <c r="E51" s="9" t="str">
        <f>'לוח הסעות מוצע'!B14</f>
        <v>בוקר</v>
      </c>
      <c r="F51" s="9" t="s">
        <v>633</v>
      </c>
    </row>
    <row r="52" spans="1:6">
      <c r="A52" s="9" t="str">
        <f>'לוח הסעות מוצע'!E14</f>
        <v>טיאר - צחי/אדוה גילה</v>
      </c>
      <c r="B52" s="10">
        <f>'לוח הסעות מוצע'!A14</f>
        <v>46332</v>
      </c>
      <c r="C52" s="9">
        <f>COUNTIF($A$2:A52,A52)</f>
        <v>1</v>
      </c>
      <c r="D52" s="9" t="str">
        <f t="shared" si="0"/>
        <v>טיאר - צחי/אדוה גילה|1</v>
      </c>
      <c r="E52" s="9" t="str">
        <f>'לוח הסעות מוצע'!B14</f>
        <v>בוקר</v>
      </c>
      <c r="F52" s="9" t="s">
        <v>633</v>
      </c>
    </row>
    <row r="53" spans="1:6">
      <c r="A53" s="9" t="str">
        <f>'לוח הסעות מוצע'!F14</f>
        <v>תורג'מן - עופר/הדס</v>
      </c>
      <c r="B53" s="10">
        <f>'לוח הסעות מוצע'!A14</f>
        <v>46332</v>
      </c>
      <c r="C53" s="9">
        <f>COUNTIF($A$2:A53,A53)</f>
        <v>1</v>
      </c>
      <c r="D53" s="9" t="str">
        <f t="shared" si="0"/>
        <v>תורג'מן - עופר/הדס|1</v>
      </c>
      <c r="E53" s="9" t="str">
        <f>'לוח הסעות מוצע'!B14</f>
        <v>בוקר</v>
      </c>
      <c r="F53" s="9" t="s">
        <v>634</v>
      </c>
    </row>
    <row r="54" spans="1:6">
      <c r="A54" s="9" t="str">
        <f>'לוח הסעות מוצע'!C15</f>
        <v>לוין - ליאור/ברית</v>
      </c>
      <c r="B54" s="10">
        <f>'לוח הסעות מוצע'!A15</f>
        <v>46332</v>
      </c>
      <c r="C54" s="9">
        <f>COUNTIF($A$2:A54,A54)</f>
        <v>2</v>
      </c>
      <c r="D54" s="9" t="str">
        <f t="shared" si="0"/>
        <v>לוין - ליאור/ברית|2</v>
      </c>
      <c r="E54" s="9" t="str">
        <f>'לוח הסעות מוצע'!B15</f>
        <v>צהריים</v>
      </c>
      <c r="F54" s="9" t="s">
        <v>633</v>
      </c>
    </row>
    <row r="55" spans="1:6">
      <c r="A55" s="9" t="str">
        <f>'לוח הסעות מוצע'!D15</f>
        <v>אליהו - הדר/לימור</v>
      </c>
      <c r="B55" s="10">
        <f>'לוח הסעות מוצע'!A15</f>
        <v>46332</v>
      </c>
      <c r="C55" s="9">
        <f>COUNTIF($A$2:A55,A55)</f>
        <v>1</v>
      </c>
      <c r="D55" s="9" t="str">
        <f t="shared" si="0"/>
        <v>אליהו - הדר/לימור|1</v>
      </c>
      <c r="E55" s="9" t="str">
        <f>'לוח הסעות מוצע'!B15</f>
        <v>צהריים</v>
      </c>
      <c r="F55" s="9" t="s">
        <v>633</v>
      </c>
    </row>
    <row r="56" spans="1:6">
      <c r="A56" s="9" t="str">
        <f>'לוח הסעות מוצע'!E15</f>
        <v>קליינר - טל/מיכל שרית</v>
      </c>
      <c r="B56" s="10">
        <f>'לוח הסעות מוצע'!A15</f>
        <v>46332</v>
      </c>
      <c r="C56" s="9">
        <f>COUNTIF($A$2:A56,A56)</f>
        <v>1</v>
      </c>
      <c r="D56" s="9" t="str">
        <f t="shared" si="0"/>
        <v>קליינר - טל/מיכל שרית|1</v>
      </c>
      <c r="E56" s="9" t="str">
        <f>'לוח הסעות מוצע'!B15</f>
        <v>צהריים</v>
      </c>
      <c r="F56" s="9" t="s">
        <v>633</v>
      </c>
    </row>
    <row r="57" spans="1:6">
      <c r="A57" s="9" t="str">
        <f>'לוח הסעות מוצע'!F15</f>
        <v>וייס - שחר/מיטל</v>
      </c>
      <c r="B57" s="10">
        <f>'לוח הסעות מוצע'!A15</f>
        <v>46332</v>
      </c>
      <c r="C57" s="9">
        <f>COUNTIF($A$2:A57,A57)</f>
        <v>1</v>
      </c>
      <c r="D57" s="9" t="str">
        <f t="shared" si="0"/>
        <v>וייס - שחר/מיטל|1</v>
      </c>
      <c r="E57" s="9" t="str">
        <f>'לוח הסעות מוצע'!B15</f>
        <v>צהריים</v>
      </c>
      <c r="F57" s="9" t="s">
        <v>634</v>
      </c>
    </row>
    <row r="58" spans="1:6">
      <c r="A58" s="9" t="str">
        <f>'לוח הסעות מוצע'!C16</f>
        <v>בן דור - עומר טל</v>
      </c>
      <c r="B58" s="10">
        <f>'לוח הסעות מוצע'!A16</f>
        <v>46339</v>
      </c>
      <c r="C58" s="9">
        <f>COUNTIF($A$2:A58,A58)</f>
        <v>2</v>
      </c>
      <c r="D58" s="9" t="str">
        <f t="shared" si="0"/>
        <v>בן דור - עומר טל|2</v>
      </c>
      <c r="E58" s="9" t="str">
        <f>'לוח הסעות מוצע'!B16</f>
        <v>בוקר</v>
      </c>
      <c r="F58" s="9" t="s">
        <v>633</v>
      </c>
    </row>
    <row r="59" spans="1:6">
      <c r="A59" s="9" t="str">
        <f>'לוח הסעות מוצע'!D16</f>
        <v>אטיאס - יקיר/גל</v>
      </c>
      <c r="B59" s="10">
        <f>'לוח הסעות מוצע'!A16</f>
        <v>46339</v>
      </c>
      <c r="C59" s="9">
        <f>COUNTIF($A$2:A59,A59)</f>
        <v>1</v>
      </c>
      <c r="D59" s="9" t="str">
        <f t="shared" si="0"/>
        <v>אטיאס - יקיר/גל|1</v>
      </c>
      <c r="E59" s="9" t="str">
        <f>'לוח הסעות מוצע'!B16</f>
        <v>בוקר</v>
      </c>
      <c r="F59" s="9" t="s">
        <v>633</v>
      </c>
    </row>
    <row r="60" spans="1:6">
      <c r="A60" s="9" t="str">
        <f>'לוח הסעות מוצע'!E16</f>
        <v>זר - נפתלי אליעזר/עדן</v>
      </c>
      <c r="B60" s="10">
        <f>'לוח הסעות מוצע'!A16</f>
        <v>46339</v>
      </c>
      <c r="C60" s="9">
        <f>COUNTIF($A$2:A60,A60)</f>
        <v>1</v>
      </c>
      <c r="D60" s="9" t="str">
        <f t="shared" si="0"/>
        <v>זר - נפתלי אליעזר/עדן|1</v>
      </c>
      <c r="E60" s="9" t="str">
        <f>'לוח הסעות מוצע'!B16</f>
        <v>בוקר</v>
      </c>
      <c r="F60" s="9" t="s">
        <v>633</v>
      </c>
    </row>
    <row r="61" spans="1:6">
      <c r="A61" s="9" t="str">
        <f>'לוח הסעות מוצע'!F16</f>
        <v>ליבוביץ - אלון/דקלה צבי</v>
      </c>
      <c r="B61" s="10">
        <f>'לוח הסעות מוצע'!A16</f>
        <v>46339</v>
      </c>
      <c r="C61" s="9">
        <f>COUNTIF($A$2:A61,A61)</f>
        <v>1</v>
      </c>
      <c r="D61" s="9" t="str">
        <f t="shared" si="0"/>
        <v>ליבוביץ - אלון/דקלה צבי|1</v>
      </c>
      <c r="E61" s="9" t="str">
        <f>'לוח הסעות מוצע'!B16</f>
        <v>בוקר</v>
      </c>
      <c r="F61" s="9" t="s">
        <v>634</v>
      </c>
    </row>
    <row r="62" spans="1:6">
      <c r="A62" s="9" t="str">
        <f>'לוח הסעות מוצע'!C17</f>
        <v>קלפון - אליאב/אורית</v>
      </c>
      <c r="B62" s="10">
        <f>'לוח הסעות מוצע'!A17</f>
        <v>46339</v>
      </c>
      <c r="C62" s="9">
        <f>COUNTIF($A$2:A62,A62)</f>
        <v>2</v>
      </c>
      <c r="D62" s="9" t="str">
        <f t="shared" si="0"/>
        <v>קלפון - אליאב/אורית|2</v>
      </c>
      <c r="E62" s="9" t="str">
        <f>'לוח הסעות מוצע'!B17</f>
        <v>צהריים</v>
      </c>
      <c r="F62" s="9" t="s">
        <v>633</v>
      </c>
    </row>
    <row r="63" spans="1:6">
      <c r="A63" s="9" t="str">
        <f>'לוח הסעות מוצע'!D17</f>
        <v>בן ארוש - חגי חיים/שני</v>
      </c>
      <c r="B63" s="10">
        <f>'לוח הסעות מוצע'!A17</f>
        <v>46339</v>
      </c>
      <c r="C63" s="9">
        <f>COUNTIF($A$2:A63,A63)</f>
        <v>1</v>
      </c>
      <c r="D63" s="9" t="str">
        <f t="shared" si="0"/>
        <v>בן ארוש - חגי חיים/שני|1</v>
      </c>
      <c r="E63" s="9" t="str">
        <f>'לוח הסעות מוצע'!B17</f>
        <v>צהריים</v>
      </c>
      <c r="F63" s="9" t="s">
        <v>633</v>
      </c>
    </row>
    <row r="64" spans="1:6">
      <c r="A64" s="9" t="str">
        <f>'לוח הסעות מוצע'!E17</f>
        <v>ישנו - אורי/ליאור</v>
      </c>
      <c r="B64" s="10">
        <f>'לוח הסעות מוצע'!A17</f>
        <v>46339</v>
      </c>
      <c r="C64" s="9">
        <f>COUNTIF($A$2:A64,A64)</f>
        <v>1</v>
      </c>
      <c r="D64" s="9" t="str">
        <f t="shared" si="0"/>
        <v>ישנו - אורי/ליאור|1</v>
      </c>
      <c r="E64" s="9" t="str">
        <f>'לוח הסעות מוצע'!B17</f>
        <v>צהריים</v>
      </c>
      <c r="F64" s="9" t="s">
        <v>633</v>
      </c>
    </row>
    <row r="65" spans="1:6">
      <c r="A65" s="9" t="str">
        <f>'לוח הסעות מוצע'!F17</f>
        <v>שני - ינאי/אביגל</v>
      </c>
      <c r="B65" s="10">
        <f>'לוח הסעות מוצע'!A17</f>
        <v>46339</v>
      </c>
      <c r="C65" s="9">
        <f>COUNTIF($A$2:A65,A65)</f>
        <v>1</v>
      </c>
      <c r="D65" s="9" t="str">
        <f t="shared" si="0"/>
        <v>שני - ינאי/אביגל|1</v>
      </c>
      <c r="E65" s="9" t="str">
        <f>'לוח הסעות מוצע'!B17</f>
        <v>צהריים</v>
      </c>
      <c r="F65" s="9" t="s">
        <v>634</v>
      </c>
    </row>
    <row r="66" spans="1:6">
      <c r="A66" s="9" t="str">
        <f>'לוח הסעות מוצע'!C18</f>
        <v>גליצנשטיין - רונן/הדס</v>
      </c>
      <c r="B66" s="10">
        <f>'לוח הסעות מוצע'!A18</f>
        <v>46346</v>
      </c>
      <c r="C66" s="9">
        <f>COUNTIF($A$2:A66,A66)</f>
        <v>1</v>
      </c>
      <c r="D66" s="9" t="str">
        <f t="shared" ref="D66:D129" si="1">A66&amp;"|"&amp;C66</f>
        <v>גליצנשטיין - רונן/הדס|1</v>
      </c>
      <c r="E66" s="9" t="str">
        <f>'לוח הסעות מוצע'!B18</f>
        <v>בוקר</v>
      </c>
      <c r="F66" s="9" t="s">
        <v>633</v>
      </c>
    </row>
    <row r="67" spans="1:6">
      <c r="A67" s="9" t="str">
        <f>'לוח הסעות מוצע'!D18</f>
        <v>אל אל - שרון/סיון</v>
      </c>
      <c r="B67" s="10">
        <f>'לוח הסעות מוצע'!A18</f>
        <v>46346</v>
      </c>
      <c r="C67" s="9">
        <f>COUNTIF($A$2:A67,A67)</f>
        <v>1</v>
      </c>
      <c r="D67" s="9" t="str">
        <f t="shared" si="1"/>
        <v>אל אל - שרון/סיון|1</v>
      </c>
      <c r="E67" s="9" t="str">
        <f>'לוח הסעות מוצע'!B18</f>
        <v>בוקר</v>
      </c>
      <c r="F67" s="9" t="s">
        <v>633</v>
      </c>
    </row>
    <row r="68" spans="1:6">
      <c r="A68" s="9" t="str">
        <f>'לוח הסעות מוצע'!E18</f>
        <v>שגיא - יפתח מאי/טל</v>
      </c>
      <c r="B68" s="10">
        <f>'לוח הסעות מוצע'!A18</f>
        <v>46346</v>
      </c>
      <c r="C68" s="9">
        <f>COUNTIF($A$2:A68,A68)</f>
        <v>1</v>
      </c>
      <c r="D68" s="9" t="str">
        <f t="shared" si="1"/>
        <v>שגיא - יפתח מאי/טל|1</v>
      </c>
      <c r="E68" s="9" t="str">
        <f>'לוח הסעות מוצע'!B18</f>
        <v>בוקר</v>
      </c>
      <c r="F68" s="9" t="s">
        <v>633</v>
      </c>
    </row>
    <row r="69" spans="1:6">
      <c r="A69" s="9" t="str">
        <f>'לוח הסעות מוצע'!F18</f>
        <v>פריד - אמיר יעק/טלי</v>
      </c>
      <c r="B69" s="10">
        <f>'לוח הסעות מוצע'!A18</f>
        <v>46346</v>
      </c>
      <c r="C69" s="9">
        <f>COUNTIF($A$2:A69,A69)</f>
        <v>1</v>
      </c>
      <c r="D69" s="9" t="str">
        <f t="shared" si="1"/>
        <v>פריד - אמיר יעק/טלי|1</v>
      </c>
      <c r="E69" s="9" t="str">
        <f>'לוח הסעות מוצע'!B18</f>
        <v>בוקר</v>
      </c>
      <c r="F69" s="9" t="s">
        <v>634</v>
      </c>
    </row>
    <row r="70" spans="1:6">
      <c r="A70" s="9" t="str">
        <f>'לוח הסעות מוצע'!C19</f>
        <v>טליאס - תמיר/צליל</v>
      </c>
      <c r="B70" s="10">
        <f>'לוח הסעות מוצע'!A19</f>
        <v>46346</v>
      </c>
      <c r="C70" s="9">
        <f>COUNTIF($A$2:A70,A70)</f>
        <v>1</v>
      </c>
      <c r="D70" s="9" t="str">
        <f t="shared" si="1"/>
        <v>טליאס - תמיר/צליל|1</v>
      </c>
      <c r="E70" s="9" t="str">
        <f>'לוח הסעות מוצע'!B19</f>
        <v>צהריים</v>
      </c>
      <c r="F70" s="9" t="s">
        <v>633</v>
      </c>
    </row>
    <row r="71" spans="1:6">
      <c r="A71" s="9" t="str">
        <f>'לוח הסעות מוצע'!D19</f>
        <v>בכר - אביעד/נופר</v>
      </c>
      <c r="B71" s="10">
        <f>'לוח הסעות מוצע'!A19</f>
        <v>46346</v>
      </c>
      <c r="C71" s="9">
        <f>COUNTIF($A$2:A71,A71)</f>
        <v>1</v>
      </c>
      <c r="D71" s="9" t="str">
        <f t="shared" si="1"/>
        <v>בכר - אביעד/נופר|1</v>
      </c>
      <c r="E71" s="9" t="str">
        <f>'לוח הסעות מוצע'!B19</f>
        <v>צהריים</v>
      </c>
      <c r="F71" s="9" t="s">
        <v>633</v>
      </c>
    </row>
    <row r="72" spans="1:6">
      <c r="A72" s="9" t="str">
        <f>'לוח הסעות מוצע'!E19</f>
        <v>אמיתי - ניצן/סיון</v>
      </c>
      <c r="B72" s="10">
        <f>'לוח הסעות מוצע'!A19</f>
        <v>46346</v>
      </c>
      <c r="C72" s="9">
        <f>COUNTIF($A$2:A72,A72)</f>
        <v>1</v>
      </c>
      <c r="D72" s="9" t="str">
        <f t="shared" si="1"/>
        <v>אמיתי - ניצן/סיון|1</v>
      </c>
      <c r="E72" s="9" t="str">
        <f>'לוח הסעות מוצע'!B19</f>
        <v>צהריים</v>
      </c>
      <c r="F72" s="9" t="s">
        <v>633</v>
      </c>
    </row>
    <row r="73" spans="1:6">
      <c r="A73" s="9" t="str">
        <f>'לוח הסעות מוצע'!F19</f>
        <v>בוסיבא - ליאת</v>
      </c>
      <c r="B73" s="10">
        <f>'לוח הסעות מוצע'!A19</f>
        <v>46346</v>
      </c>
      <c r="C73" s="9">
        <f>COUNTIF($A$2:A73,A73)</f>
        <v>1</v>
      </c>
      <c r="D73" s="9" t="str">
        <f t="shared" si="1"/>
        <v>בוסיבא - ליאת|1</v>
      </c>
      <c r="E73" s="9" t="str">
        <f>'לוח הסעות מוצע'!B19</f>
        <v>צהריים</v>
      </c>
      <c r="F73" s="9" t="s">
        <v>634</v>
      </c>
    </row>
    <row r="74" spans="1:6">
      <c r="A74" s="9" t="str">
        <f>'לוח הסעות מוצע'!C20</f>
        <v>כהן - אמציה/רביד</v>
      </c>
      <c r="B74" s="10">
        <f>'לוח הסעות מוצע'!A20</f>
        <v>46353</v>
      </c>
      <c r="C74" s="9">
        <f>COUNTIF($A$2:A74,A74)</f>
        <v>1</v>
      </c>
      <c r="D74" s="9" t="str">
        <f t="shared" si="1"/>
        <v>כהן - אמציה/רביד|1</v>
      </c>
      <c r="E74" s="9" t="str">
        <f>'לוח הסעות מוצע'!B20</f>
        <v>בוקר</v>
      </c>
      <c r="F74" s="9" t="s">
        <v>633</v>
      </c>
    </row>
    <row r="75" spans="1:6">
      <c r="A75" s="9" t="str">
        <f>'לוח הסעות מוצע'!D20</f>
        <v>גרבי - דרור ישר/הלה</v>
      </c>
      <c r="B75" s="10">
        <f>'לוח הסעות מוצע'!A20</f>
        <v>46353</v>
      </c>
      <c r="C75" s="9">
        <f>COUNTIF($A$2:A75,A75)</f>
        <v>1</v>
      </c>
      <c r="D75" s="9" t="str">
        <f t="shared" si="1"/>
        <v>גרבי - דרור ישר/הלה|1</v>
      </c>
      <c r="E75" s="9" t="str">
        <f>'לוח הסעות מוצע'!B20</f>
        <v>בוקר</v>
      </c>
      <c r="F75" s="9" t="s">
        <v>633</v>
      </c>
    </row>
    <row r="76" spans="1:6">
      <c r="A76" s="9" t="str">
        <f>'לוח הסעות מוצע'!E20</f>
        <v>אגאי - ערן/ליאת</v>
      </c>
      <c r="B76" s="10">
        <f>'לוח הסעות מוצע'!A20</f>
        <v>46353</v>
      </c>
      <c r="C76" s="9">
        <f>COUNTIF($A$2:A76,A76)</f>
        <v>1</v>
      </c>
      <c r="D76" s="9" t="str">
        <f t="shared" si="1"/>
        <v>אגאי - ערן/ליאת|1</v>
      </c>
      <c r="E76" s="9" t="str">
        <f>'לוח הסעות מוצע'!B20</f>
        <v>בוקר</v>
      </c>
      <c r="F76" s="9" t="s">
        <v>633</v>
      </c>
    </row>
    <row r="77" spans="1:6">
      <c r="A77" s="9" t="str">
        <f>'לוח הסעות מוצע'!F20</f>
        <v>בס - אליעזר/שימרית עירית</v>
      </c>
      <c r="B77" s="10">
        <f>'לוח הסעות מוצע'!A20</f>
        <v>46353</v>
      </c>
      <c r="C77" s="9">
        <f>COUNTIF($A$2:A77,A77)</f>
        <v>1</v>
      </c>
      <c r="D77" s="9" t="str">
        <f t="shared" si="1"/>
        <v>בס - אליעזר/שימרית עירית|1</v>
      </c>
      <c r="E77" s="9" t="str">
        <f>'לוח הסעות מוצע'!B20</f>
        <v>בוקר</v>
      </c>
      <c r="F77" s="9" t="s">
        <v>634</v>
      </c>
    </row>
    <row r="78" spans="1:6">
      <c r="A78" s="9" t="str">
        <f>'לוח הסעות מוצע'!C21</f>
        <v>בלקין פרדו ב - מרסלו/מילנה</v>
      </c>
      <c r="B78" s="10">
        <f>'לוח הסעות מוצע'!A21</f>
        <v>46353</v>
      </c>
      <c r="C78" s="9">
        <f>COUNTIF($A$2:A78,A78)</f>
        <v>1</v>
      </c>
      <c r="D78" s="9" t="str">
        <f t="shared" si="1"/>
        <v>בלקין פרדו ב - מרסלו/מילנה|1</v>
      </c>
      <c r="E78" s="9" t="str">
        <f>'לוח הסעות מוצע'!B21</f>
        <v>צהריים</v>
      </c>
      <c r="F78" s="9" t="s">
        <v>633</v>
      </c>
    </row>
    <row r="79" spans="1:6">
      <c r="A79" s="9" t="str">
        <f>'לוח הסעות מוצע'!D21</f>
        <v>לנקרי - עמר/לאה</v>
      </c>
      <c r="B79" s="10">
        <f>'לוח הסעות מוצע'!A21</f>
        <v>46353</v>
      </c>
      <c r="C79" s="9">
        <f>COUNTIF($A$2:A79,A79)</f>
        <v>1</v>
      </c>
      <c r="D79" s="9" t="str">
        <f t="shared" si="1"/>
        <v>לנקרי - עמר/לאה|1</v>
      </c>
      <c r="E79" s="9" t="str">
        <f>'לוח הסעות מוצע'!B21</f>
        <v>צהריים</v>
      </c>
      <c r="F79" s="9" t="s">
        <v>633</v>
      </c>
    </row>
    <row r="80" spans="1:6">
      <c r="A80" s="9" t="str">
        <f>'לוח הסעות מוצע'!E21</f>
        <v>רביד - אורי/איה</v>
      </c>
      <c r="B80" s="10">
        <f>'לוח הסעות מוצע'!A21</f>
        <v>46353</v>
      </c>
      <c r="C80" s="9">
        <f>COUNTIF($A$2:A80,A80)</f>
        <v>1</v>
      </c>
      <c r="D80" s="9" t="str">
        <f t="shared" si="1"/>
        <v>רביד - אורי/איה|1</v>
      </c>
      <c r="E80" s="9" t="str">
        <f>'לוח הסעות מוצע'!B21</f>
        <v>צהריים</v>
      </c>
      <c r="F80" s="9" t="s">
        <v>633</v>
      </c>
    </row>
    <row r="81" spans="1:6">
      <c r="A81" s="9" t="str">
        <f>'לוח הסעות מוצע'!F21</f>
        <v>רובין - ראם/הילה</v>
      </c>
      <c r="B81" s="10">
        <f>'לוח הסעות מוצע'!A21</f>
        <v>46353</v>
      </c>
      <c r="C81" s="9">
        <f>COUNTIF($A$2:A81,A81)</f>
        <v>1</v>
      </c>
      <c r="D81" s="9" t="str">
        <f t="shared" si="1"/>
        <v>רובין - ראם/הילה|1</v>
      </c>
      <c r="E81" s="9" t="str">
        <f>'לוח הסעות מוצע'!B21</f>
        <v>צהריים</v>
      </c>
      <c r="F81" s="9" t="s">
        <v>634</v>
      </c>
    </row>
    <row r="82" spans="1:6">
      <c r="A82" s="9" t="str">
        <f>'לוח הסעות מוצע'!C22</f>
        <v>פונגסידה עלמא - סאווירט/שי</v>
      </c>
      <c r="B82" s="10">
        <f>'לוח הסעות מוצע'!A22</f>
        <v>46360</v>
      </c>
      <c r="C82" s="9">
        <f>COUNTIF($A$2:A82,A82)</f>
        <v>2</v>
      </c>
      <c r="D82" s="9" t="str">
        <f t="shared" si="1"/>
        <v>פונגסידה עלמא - סאווירט/שי|2</v>
      </c>
      <c r="E82" s="9" t="str">
        <f>'לוח הסעות מוצע'!B22</f>
        <v>בוקר</v>
      </c>
      <c r="F82" s="9" t="s">
        <v>633</v>
      </c>
    </row>
    <row r="83" spans="1:6">
      <c r="A83" s="9" t="str">
        <f>'לוח הסעות מוצע'!D22</f>
        <v>אשכנזי אדלר - אוריה/מורן</v>
      </c>
      <c r="B83" s="10">
        <f>'לוח הסעות מוצע'!A22</f>
        <v>46360</v>
      </c>
      <c r="C83" s="9">
        <f>COUNTIF($A$2:A83,A83)</f>
        <v>1</v>
      </c>
      <c r="D83" s="9" t="str">
        <f t="shared" si="1"/>
        <v>אשכנזי אדלר - אוריה/מורן|1</v>
      </c>
      <c r="E83" s="9" t="str">
        <f>'לוח הסעות מוצע'!B22</f>
        <v>בוקר</v>
      </c>
      <c r="F83" s="9" t="s">
        <v>633</v>
      </c>
    </row>
    <row r="84" spans="1:6">
      <c r="A84" s="9" t="str">
        <f>'לוח הסעות מוצע'!E22</f>
        <v>סהר - יתיר/קרן שמש</v>
      </c>
      <c r="B84" s="10">
        <f>'לוח הסעות מוצע'!A22</f>
        <v>46360</v>
      </c>
      <c r="C84" s="9">
        <f>COUNTIF($A$2:A84,A84)</f>
        <v>1</v>
      </c>
      <c r="D84" s="9" t="str">
        <f t="shared" si="1"/>
        <v>סהר - יתיר/קרן שמש|1</v>
      </c>
      <c r="E84" s="9" t="str">
        <f>'לוח הסעות מוצע'!B22</f>
        <v>בוקר</v>
      </c>
      <c r="F84" s="9" t="s">
        <v>633</v>
      </c>
    </row>
    <row r="85" spans="1:6">
      <c r="A85" s="9" t="str">
        <f>'לוח הסעות מוצע'!F22</f>
        <v>זדה - רביב/מיכל</v>
      </c>
      <c r="B85" s="10">
        <f>'לוח הסעות מוצע'!A22</f>
        <v>46360</v>
      </c>
      <c r="C85" s="9">
        <f>COUNTIF($A$2:A85,A85)</f>
        <v>1</v>
      </c>
      <c r="D85" s="9" t="str">
        <f t="shared" si="1"/>
        <v>זדה - רביב/מיכל|1</v>
      </c>
      <c r="E85" s="9" t="str">
        <f>'לוח הסעות מוצע'!B22</f>
        <v>בוקר</v>
      </c>
      <c r="F85" s="9" t="s">
        <v>634</v>
      </c>
    </row>
    <row r="86" spans="1:6">
      <c r="A86" s="9" t="str">
        <f>'לוח הסעות מוצע'!C23</f>
        <v>יעקובי - יניב/הילה</v>
      </c>
      <c r="B86" s="10">
        <f>'לוח הסעות מוצע'!A23</f>
        <v>46360</v>
      </c>
      <c r="C86" s="9">
        <f>COUNTIF($A$2:A86,A86)</f>
        <v>1</v>
      </c>
      <c r="D86" s="9" t="str">
        <f t="shared" si="1"/>
        <v>יעקובי - יניב/הילה|1</v>
      </c>
      <c r="E86" s="9" t="str">
        <f>'לוח הסעות מוצע'!B23</f>
        <v>צהריים</v>
      </c>
      <c r="F86" s="9" t="s">
        <v>633</v>
      </c>
    </row>
    <row r="87" spans="1:6">
      <c r="A87" s="9" t="str">
        <f>'לוח הסעות מוצע'!D23</f>
        <v>שליי - אילן/טהר</v>
      </c>
      <c r="B87" s="10">
        <f>'לוח הסעות מוצע'!A23</f>
        <v>46360</v>
      </c>
      <c r="C87" s="9">
        <f>COUNTIF($A$2:A87,A87)</f>
        <v>1</v>
      </c>
      <c r="D87" s="9" t="str">
        <f t="shared" si="1"/>
        <v>שליי - אילן/טהר|1</v>
      </c>
      <c r="E87" s="9" t="str">
        <f>'לוח הסעות מוצע'!B23</f>
        <v>צהריים</v>
      </c>
      <c r="F87" s="9" t="s">
        <v>633</v>
      </c>
    </row>
    <row r="88" spans="1:6">
      <c r="A88" s="9" t="str">
        <f>'לוח הסעות מוצע'!E23</f>
        <v>גולני - מעין/אורית</v>
      </c>
      <c r="B88" s="10">
        <f>'לוח הסעות מוצע'!A23</f>
        <v>46360</v>
      </c>
      <c r="C88" s="9">
        <f>COUNTIF($A$2:A88,A88)</f>
        <v>1</v>
      </c>
      <c r="D88" s="9" t="str">
        <f t="shared" si="1"/>
        <v>גולני - מעין/אורית|1</v>
      </c>
      <c r="E88" s="9" t="str">
        <f>'לוח הסעות מוצע'!B23</f>
        <v>צהריים</v>
      </c>
      <c r="F88" s="9" t="s">
        <v>633</v>
      </c>
    </row>
    <row r="89" spans="1:6">
      <c r="A89" s="9" t="str">
        <f>'לוח הסעות מוצע'!F23</f>
        <v>רפפורט - אביב/ענת</v>
      </c>
      <c r="B89" s="10">
        <f>'לוח הסעות מוצע'!A23</f>
        <v>46360</v>
      </c>
      <c r="C89" s="9">
        <f>COUNTIF($A$2:A89,A89)</f>
        <v>1</v>
      </c>
      <c r="D89" s="9" t="str">
        <f t="shared" si="1"/>
        <v>רפפורט - אביב/ענת|1</v>
      </c>
      <c r="E89" s="9" t="str">
        <f>'לוח הסעות מוצע'!B23</f>
        <v>צהריים</v>
      </c>
      <c r="F89" s="9" t="s">
        <v>634</v>
      </c>
    </row>
    <row r="90" spans="1:6">
      <c r="A90" s="9" t="str">
        <f>'לוח הסעות מוצע'!C24</f>
        <v>חורין - גלעד/ספיר</v>
      </c>
      <c r="B90" s="10">
        <f>'לוח הסעות מוצע'!A24</f>
        <v>46374</v>
      </c>
      <c r="C90" s="9">
        <f>COUNTIF($A$2:A90,A90)</f>
        <v>1</v>
      </c>
      <c r="D90" s="9" t="str">
        <f t="shared" si="1"/>
        <v>חורין - גלעד/ספיר|1</v>
      </c>
      <c r="E90" s="9" t="str">
        <f>'לוח הסעות מוצע'!B24</f>
        <v>בוקר</v>
      </c>
      <c r="F90" s="9" t="s">
        <v>633</v>
      </c>
    </row>
    <row r="91" spans="1:6">
      <c r="A91" s="9" t="str">
        <f>'לוח הסעות מוצע'!D24</f>
        <v>מאיר - נתן/חן</v>
      </c>
      <c r="B91" s="10">
        <f>'לוח הסעות מוצע'!A24</f>
        <v>46374</v>
      </c>
      <c r="C91" s="9">
        <f>COUNTIF($A$2:A91,A91)</f>
        <v>1</v>
      </c>
      <c r="D91" s="9" t="str">
        <f t="shared" si="1"/>
        <v>מאיר - נתן/חן|1</v>
      </c>
      <c r="E91" s="9" t="str">
        <f>'לוח הסעות מוצע'!B24</f>
        <v>בוקר</v>
      </c>
      <c r="F91" s="9" t="s">
        <v>633</v>
      </c>
    </row>
    <row r="92" spans="1:6">
      <c r="A92" s="9" t="str">
        <f>'לוח הסעות מוצע'!E24</f>
        <v>ווינטראוב - אורן נחמן/קרן</v>
      </c>
      <c r="B92" s="10">
        <f>'לוח הסעות מוצע'!A24</f>
        <v>46374</v>
      </c>
      <c r="C92" s="9">
        <f>COUNTIF($A$2:A92,A92)</f>
        <v>1</v>
      </c>
      <c r="D92" s="9" t="str">
        <f t="shared" si="1"/>
        <v>ווינטראוב - אורן נחמן/קרן|1</v>
      </c>
      <c r="E92" s="9" t="str">
        <f>'לוח הסעות מוצע'!B24</f>
        <v>בוקר</v>
      </c>
      <c r="F92" s="9" t="s">
        <v>633</v>
      </c>
    </row>
    <row r="93" spans="1:6">
      <c r="A93" s="9" t="str">
        <f>'לוח הסעות מוצע'!F24</f>
        <v>כרמל - אלעד/מיכל</v>
      </c>
      <c r="B93" s="10">
        <f>'לוח הסעות מוצע'!A24</f>
        <v>46374</v>
      </c>
      <c r="C93" s="9">
        <f>COUNTIF($A$2:A93,A93)</f>
        <v>1</v>
      </c>
      <c r="D93" s="9" t="str">
        <f t="shared" si="1"/>
        <v>כרמל - אלעד/מיכל|1</v>
      </c>
      <c r="E93" s="9" t="str">
        <f>'לוח הסעות מוצע'!B24</f>
        <v>בוקר</v>
      </c>
      <c r="F93" s="9" t="s">
        <v>634</v>
      </c>
    </row>
    <row r="94" spans="1:6">
      <c r="A94" s="9" t="str">
        <f>'לוח הסעות מוצע'!C25</f>
        <v>אנגלשטיין - דיו נויה</v>
      </c>
      <c r="B94" s="10">
        <f>'לוח הסעות מוצע'!A25</f>
        <v>46374</v>
      </c>
      <c r="C94" s="9">
        <f>COUNTIF($A$2:A94,A94)</f>
        <v>1</v>
      </c>
      <c r="D94" s="9" t="str">
        <f t="shared" si="1"/>
        <v>אנגלשטיין - דיו נויה|1</v>
      </c>
      <c r="E94" s="9" t="str">
        <f>'לוח הסעות מוצע'!B25</f>
        <v>צהריים</v>
      </c>
      <c r="F94" s="9" t="s">
        <v>633</v>
      </c>
    </row>
    <row r="95" spans="1:6">
      <c r="A95" s="9" t="str">
        <f>'לוח הסעות מוצע'!D25</f>
        <v>קלוגמן - ראובן/חנית</v>
      </c>
      <c r="B95" s="10">
        <f>'לוח הסעות מוצע'!A25</f>
        <v>46374</v>
      </c>
      <c r="C95" s="9">
        <f>COUNTIF($A$2:A95,A95)</f>
        <v>1</v>
      </c>
      <c r="D95" s="9" t="str">
        <f t="shared" si="1"/>
        <v>קלוגמן - ראובן/חנית|1</v>
      </c>
      <c r="E95" s="9" t="str">
        <f>'לוח הסעות מוצע'!B25</f>
        <v>צהריים</v>
      </c>
      <c r="F95" s="9" t="s">
        <v>633</v>
      </c>
    </row>
    <row r="96" spans="1:6">
      <c r="A96" s="9" t="str">
        <f>'לוח הסעות מוצע'!E25</f>
        <v>קרימרמן - מטיאס גב/אשרה</v>
      </c>
      <c r="B96" s="10">
        <f>'לוח הסעות מוצע'!A25</f>
        <v>46374</v>
      </c>
      <c r="C96" s="9">
        <f>COUNTIF($A$2:A96,A96)</f>
        <v>1</v>
      </c>
      <c r="D96" s="9" t="str">
        <f t="shared" si="1"/>
        <v>קרימרמן - מטיאס גב/אשרה|1</v>
      </c>
      <c r="E96" s="9" t="str">
        <f>'לוח הסעות מוצע'!B25</f>
        <v>צהריים</v>
      </c>
      <c r="F96" s="9" t="s">
        <v>633</v>
      </c>
    </row>
    <row r="97" spans="1:6">
      <c r="A97" s="9" t="str">
        <f>'לוח הסעות מוצע'!F25</f>
        <v>תורג'מן - עופר/הדס</v>
      </c>
      <c r="B97" s="10">
        <f>'לוח הסעות מוצע'!A25</f>
        <v>46374</v>
      </c>
      <c r="C97" s="9">
        <f>COUNTIF($A$2:A97,A97)</f>
        <v>2</v>
      </c>
      <c r="D97" s="9" t="str">
        <f t="shared" si="1"/>
        <v>תורג'מן - עופר/הדס|2</v>
      </c>
      <c r="E97" s="9" t="str">
        <f>'לוח הסעות מוצע'!B25</f>
        <v>צהריים</v>
      </c>
      <c r="F97" s="9" t="s">
        <v>634</v>
      </c>
    </row>
    <row r="98" spans="1:6">
      <c r="A98" s="9" t="str">
        <f>'לוח הסעות מוצע'!C26</f>
        <v>נחליאלי - גיל-עד י/עדי</v>
      </c>
      <c r="B98" s="10">
        <f>'לוח הסעות מוצע'!A26</f>
        <v>46381</v>
      </c>
      <c r="C98" s="9">
        <f>COUNTIF($A$2:A98,A98)</f>
        <v>1</v>
      </c>
      <c r="D98" s="9" t="str">
        <f t="shared" si="1"/>
        <v>נחליאלי - גיל-עד י/עדי|1</v>
      </c>
      <c r="E98" s="9" t="str">
        <f>'לוח הסעות מוצע'!B26</f>
        <v>בוקר</v>
      </c>
      <c r="F98" s="9" t="s">
        <v>633</v>
      </c>
    </row>
    <row r="99" spans="1:6">
      <c r="A99" s="9" t="str">
        <f>'לוח הסעות מוצע'!D26</f>
        <v>מקלר - רן/עדי</v>
      </c>
      <c r="B99" s="10">
        <f>'לוח הסעות מוצע'!A26</f>
        <v>46381</v>
      </c>
      <c r="C99" s="9">
        <f>COUNTIF($A$2:A99,A99)</f>
        <v>1</v>
      </c>
      <c r="D99" s="9" t="str">
        <f t="shared" si="1"/>
        <v>מקלר - רן/עדי|1</v>
      </c>
      <c r="E99" s="9" t="str">
        <f>'לוח הסעות מוצע'!B26</f>
        <v>בוקר</v>
      </c>
      <c r="F99" s="9" t="s">
        <v>633</v>
      </c>
    </row>
    <row r="100" spans="1:6">
      <c r="A100" s="9" t="str">
        <f>'לוח הסעות מוצע'!E26</f>
        <v>אלימלך - דור/רות</v>
      </c>
      <c r="B100" s="10">
        <f>'לוח הסעות מוצע'!A26</f>
        <v>46381</v>
      </c>
      <c r="C100" s="9">
        <f>COUNTIF($A$2:A100,A100)</f>
        <v>1</v>
      </c>
      <c r="D100" s="9" t="str">
        <f t="shared" si="1"/>
        <v>אלימלך - דור/רות|1</v>
      </c>
      <c r="E100" s="9" t="str">
        <f>'לוח הסעות מוצע'!B26</f>
        <v>בוקר</v>
      </c>
      <c r="F100" s="9" t="s">
        <v>633</v>
      </c>
    </row>
    <row r="101" spans="1:6">
      <c r="A101" s="9" t="str">
        <f>'לוח הסעות מוצע'!F26</f>
        <v>שטוטמן - יניר/ליאורה ר</v>
      </c>
      <c r="B101" s="10">
        <f>'לוח הסעות מוצע'!A26</f>
        <v>46381</v>
      </c>
      <c r="C101" s="9">
        <f>COUNTIF($A$2:A101,A101)</f>
        <v>2</v>
      </c>
      <c r="D101" s="9" t="str">
        <f t="shared" si="1"/>
        <v>שטוטמן - יניר/ליאורה ר|2</v>
      </c>
      <c r="E101" s="9" t="str">
        <f>'לוח הסעות מוצע'!B26</f>
        <v>בוקר</v>
      </c>
      <c r="F101" s="9" t="s">
        <v>634</v>
      </c>
    </row>
    <row r="102" spans="1:6">
      <c r="A102" s="9" t="str">
        <f>'לוח הסעות מוצע'!C27</f>
        <v>קרואני - שגיא/דנה</v>
      </c>
      <c r="B102" s="10">
        <f>'לוח הסעות מוצע'!A27</f>
        <v>46381</v>
      </c>
      <c r="C102" s="9">
        <f>COUNTIF($A$2:A102,A102)</f>
        <v>2</v>
      </c>
      <c r="D102" s="9" t="str">
        <f t="shared" si="1"/>
        <v>קרואני - שגיא/דנה|2</v>
      </c>
      <c r="E102" s="9" t="str">
        <f>'לוח הסעות מוצע'!B27</f>
        <v>צהריים</v>
      </c>
      <c r="F102" s="9" t="s">
        <v>633</v>
      </c>
    </row>
    <row r="103" spans="1:6">
      <c r="A103" s="9" t="str">
        <f>'לוח הסעות מוצע'!D27</f>
        <v>פרילוצקי - רומן ישר/אינה</v>
      </c>
      <c r="B103" s="10">
        <f>'לוח הסעות מוצע'!A27</f>
        <v>46381</v>
      </c>
      <c r="C103" s="9">
        <f>COUNTIF($A$2:A103,A103)</f>
        <v>2</v>
      </c>
      <c r="D103" s="9" t="str">
        <f t="shared" si="1"/>
        <v>פרילוצקי - רומן ישר/אינה|2</v>
      </c>
      <c r="E103" s="9" t="str">
        <f>'לוח הסעות מוצע'!B27</f>
        <v>צהריים</v>
      </c>
      <c r="F103" s="9" t="s">
        <v>633</v>
      </c>
    </row>
    <row r="104" spans="1:6">
      <c r="A104" s="9" t="e">
        <f>'לוח הסעות מוצע'!#REF!</f>
        <v>#REF!</v>
      </c>
      <c r="B104" s="10">
        <f>'לוח הסעות מוצע'!A27</f>
        <v>46381</v>
      </c>
      <c r="C104" s="9">
        <f>COUNTIF($A$2:A104,A104)</f>
        <v>2</v>
      </c>
      <c r="D104" s="9" t="e">
        <f t="shared" si="1"/>
        <v>#REF!</v>
      </c>
      <c r="E104" s="9" t="str">
        <f>'לוח הסעות מוצע'!B27</f>
        <v>צהריים</v>
      </c>
      <c r="F104" s="9" t="s">
        <v>633</v>
      </c>
    </row>
    <row r="105" spans="1:6">
      <c r="A105" s="9" t="str">
        <f>'לוח הסעות מוצע'!F27</f>
        <v>אפרתי - נעם/המיה</v>
      </c>
      <c r="B105" s="10">
        <f>'לוח הסעות מוצע'!A27</f>
        <v>46381</v>
      </c>
      <c r="C105" s="9">
        <f>COUNTIF($A$2:A105,A105)</f>
        <v>2</v>
      </c>
      <c r="D105" s="9" t="str">
        <f t="shared" si="1"/>
        <v>אפרתי - נעם/המיה|2</v>
      </c>
      <c r="E105" s="9" t="str">
        <f>'לוח הסעות מוצע'!B27</f>
        <v>צהריים</v>
      </c>
      <c r="F105" s="9" t="s">
        <v>634</v>
      </c>
    </row>
    <row r="106" spans="1:6">
      <c r="A106" s="9" t="str">
        <f>'לוח הסעות מוצע'!C28</f>
        <v>בן יוסף - יפתח/נטלי</v>
      </c>
      <c r="B106" s="10">
        <f>'לוח הסעות מוצע'!A28</f>
        <v>46388</v>
      </c>
      <c r="C106" s="9">
        <f>COUNTIF($A$2:A106,A106)</f>
        <v>2</v>
      </c>
      <c r="D106" s="9" t="str">
        <f t="shared" si="1"/>
        <v>בן יוסף - יפתח/נטלי|2</v>
      </c>
      <c r="E106" s="9" t="str">
        <f>'לוח הסעות מוצע'!B28</f>
        <v>בוקר</v>
      </c>
      <c r="F106" s="9" t="s">
        <v>633</v>
      </c>
    </row>
    <row r="107" spans="1:6">
      <c r="A107" s="9" t="str">
        <f>'לוח הסעות מוצע'!D28</f>
        <v>נאור - אחיקם/ליטל</v>
      </c>
      <c r="B107" s="10">
        <f>'לוח הסעות מוצע'!A28</f>
        <v>46388</v>
      </c>
      <c r="C107" s="9">
        <f>COUNTIF($A$2:A107,A107)</f>
        <v>2</v>
      </c>
      <c r="D107" s="9" t="str">
        <f t="shared" si="1"/>
        <v>נאור - אחיקם/ליטל|2</v>
      </c>
      <c r="E107" s="9" t="str">
        <f>'לוח הסעות מוצע'!B28</f>
        <v>בוקר</v>
      </c>
      <c r="F107" s="9" t="s">
        <v>633</v>
      </c>
    </row>
    <row r="108" spans="1:6">
      <c r="A108" s="9" t="str">
        <f>'לוח הסעות מוצע'!E28</f>
        <v>הררי - אורי/חן מלי</v>
      </c>
      <c r="B108" s="10">
        <f>'לוח הסעות מוצע'!A28</f>
        <v>46388</v>
      </c>
      <c r="C108" s="9">
        <f>COUNTIF($A$2:A108,A108)</f>
        <v>1</v>
      </c>
      <c r="D108" s="9" t="str">
        <f t="shared" si="1"/>
        <v>הררי - אורי/חן מלי|1</v>
      </c>
      <c r="E108" s="9" t="str">
        <f>'לוח הסעות מוצע'!B28</f>
        <v>בוקר</v>
      </c>
      <c r="F108" s="9" t="s">
        <v>633</v>
      </c>
    </row>
    <row r="109" spans="1:6">
      <c r="A109" s="9" t="str">
        <f>'לוח הסעות מוצע'!F28</f>
        <v>כהן - יהודה או/אסתי</v>
      </c>
      <c r="B109" s="10">
        <f>'לוח הסעות מוצע'!A28</f>
        <v>46388</v>
      </c>
      <c r="C109" s="9">
        <f>COUNTIF($A$2:A109,A109)</f>
        <v>2</v>
      </c>
      <c r="D109" s="9" t="str">
        <f t="shared" si="1"/>
        <v>כהן - יהודה או/אסתי|2</v>
      </c>
      <c r="E109" s="9" t="str">
        <f>'לוח הסעות מוצע'!B28</f>
        <v>בוקר</v>
      </c>
      <c r="F109" s="9" t="s">
        <v>634</v>
      </c>
    </row>
    <row r="110" spans="1:6">
      <c r="A110" s="9" t="str">
        <f>'לוח הסעות מוצע'!C29</f>
        <v>ויסברג - איתי/איילת צי</v>
      </c>
      <c r="B110" s="10">
        <f>'לוח הסעות מוצע'!A29</f>
        <v>46388</v>
      </c>
      <c r="C110" s="9">
        <f>COUNTIF($A$2:A110,A110)</f>
        <v>2</v>
      </c>
      <c r="D110" s="9" t="str">
        <f t="shared" si="1"/>
        <v>ויסברג - איתי/איילת צי|2</v>
      </c>
      <c r="E110" s="9" t="str">
        <f>'לוח הסעות מוצע'!B29</f>
        <v>צהריים</v>
      </c>
      <c r="F110" s="9" t="s">
        <v>633</v>
      </c>
    </row>
    <row r="111" spans="1:6">
      <c r="A111" s="9" t="str">
        <f>'לוח הסעות מוצע'!D29</f>
        <v>ירון - איתמר/יעל</v>
      </c>
      <c r="B111" s="10">
        <f>'לוח הסעות מוצע'!A29</f>
        <v>46388</v>
      </c>
      <c r="C111" s="9">
        <f>COUNTIF($A$2:A111,A111)</f>
        <v>2</v>
      </c>
      <c r="D111" s="9" t="str">
        <f t="shared" si="1"/>
        <v>ירון - איתמר/יעל|2</v>
      </c>
      <c r="E111" s="9" t="str">
        <f>'לוח הסעות מוצע'!B29</f>
        <v>צהריים</v>
      </c>
      <c r="F111" s="9" t="s">
        <v>633</v>
      </c>
    </row>
    <row r="112" spans="1:6">
      <c r="A112" s="9" t="str">
        <f>'לוח הסעות מוצע'!E29</f>
        <v>שואף - טל/איילת</v>
      </c>
      <c r="B112" s="10">
        <f>'לוח הסעות מוצע'!A29</f>
        <v>46388</v>
      </c>
      <c r="C112" s="9">
        <f>COUNTIF($A$2:A112,A112)</f>
        <v>1</v>
      </c>
      <c r="D112" s="9" t="str">
        <f t="shared" si="1"/>
        <v>שואף - טל/איילת|1</v>
      </c>
      <c r="E112" s="9" t="str">
        <f>'לוח הסעות מוצע'!B29</f>
        <v>צהריים</v>
      </c>
      <c r="F112" s="9" t="s">
        <v>633</v>
      </c>
    </row>
    <row r="113" spans="1:6">
      <c r="A113" s="9" t="str">
        <f>'לוח הסעות מוצע'!F29</f>
        <v>פרץ - דניאל/נואי</v>
      </c>
      <c r="B113" s="10">
        <f>'לוח הסעות מוצע'!A29</f>
        <v>46388</v>
      </c>
      <c r="C113" s="9">
        <f>COUNTIF($A$2:A113,A113)</f>
        <v>2</v>
      </c>
      <c r="D113" s="9" t="str">
        <f t="shared" si="1"/>
        <v>פרץ - דניאל/נואי|2</v>
      </c>
      <c r="E113" s="9" t="str">
        <f>'לוח הסעות מוצע'!B29</f>
        <v>צהריים</v>
      </c>
      <c r="F113" s="9" t="s">
        <v>634</v>
      </c>
    </row>
    <row r="114" spans="1:6">
      <c r="A114" s="9" t="str">
        <f>'לוח הסעות מוצע'!C30</f>
        <v>בשן - חנן/שרון</v>
      </c>
      <c r="B114" s="10">
        <f>'לוח הסעות מוצע'!A30</f>
        <v>46395</v>
      </c>
      <c r="C114" s="9">
        <f>COUNTIF($A$2:A114,A114)</f>
        <v>2</v>
      </c>
      <c r="D114" s="9" t="str">
        <f t="shared" si="1"/>
        <v>בשן - חנן/שרון|2</v>
      </c>
      <c r="E114" s="9" t="str">
        <f>'לוח הסעות מוצע'!B30</f>
        <v>בוקר</v>
      </c>
      <c r="F114" s="9" t="s">
        <v>633</v>
      </c>
    </row>
    <row r="115" spans="1:6">
      <c r="A115" s="9" t="str">
        <f>'לוח הסעות מוצע'!D30</f>
        <v>כהן - איתיאל/טטיאנה</v>
      </c>
      <c r="B115" s="10">
        <f>'לוח הסעות מוצע'!A30</f>
        <v>46395</v>
      </c>
      <c r="C115" s="9">
        <f>COUNTIF($A$2:A115,A115)</f>
        <v>1</v>
      </c>
      <c r="D115" s="9" t="str">
        <f t="shared" si="1"/>
        <v>כהן - איתיאל/טטיאנה|1</v>
      </c>
      <c r="E115" s="9" t="str">
        <f>'לוח הסעות מוצע'!B30</f>
        <v>בוקר</v>
      </c>
      <c r="F115" s="9" t="s">
        <v>633</v>
      </c>
    </row>
    <row r="116" spans="1:6">
      <c r="A116" s="9" t="str">
        <f>'לוח הסעות מוצע'!E30</f>
        <v>איאש - אביתר/מיכל</v>
      </c>
      <c r="B116" s="10">
        <f>'לוח הסעות מוצע'!A30</f>
        <v>46395</v>
      </c>
      <c r="C116" s="9">
        <f>COUNTIF($A$2:A116,A116)</f>
        <v>2</v>
      </c>
      <c r="D116" s="9" t="str">
        <f t="shared" si="1"/>
        <v>איאש - אביתר/מיכל|2</v>
      </c>
      <c r="E116" s="9" t="str">
        <f>'לוח הסעות מוצע'!B30</f>
        <v>בוקר</v>
      </c>
      <c r="F116" s="9" t="s">
        <v>633</v>
      </c>
    </row>
    <row r="117" spans="1:6">
      <c r="A117" s="9" t="str">
        <f>'לוח הסעות מוצע'!F30</f>
        <v>גבע - ים/מיטל אליס</v>
      </c>
      <c r="B117" s="10">
        <f>'לוח הסעות מוצע'!A30</f>
        <v>46395</v>
      </c>
      <c r="C117" s="9">
        <f>COUNTIF($A$2:A117,A117)</f>
        <v>2</v>
      </c>
      <c r="D117" s="9" t="str">
        <f t="shared" si="1"/>
        <v>גבע - ים/מיטל אליס|2</v>
      </c>
      <c r="E117" s="9" t="str">
        <f>'לוח הסעות מוצע'!B30</f>
        <v>בוקר</v>
      </c>
      <c r="F117" s="9" t="s">
        <v>634</v>
      </c>
    </row>
    <row r="118" spans="1:6">
      <c r="A118" s="9" t="str">
        <f>'לוח הסעות מוצע'!C31</f>
        <v>כהן - עפר/יעל</v>
      </c>
      <c r="B118" s="10">
        <f>'לוח הסעות מוצע'!A31</f>
        <v>46395</v>
      </c>
      <c r="C118" s="9">
        <f>COUNTIF($A$2:A118,A118)</f>
        <v>2</v>
      </c>
      <c r="D118" s="9" t="str">
        <f t="shared" si="1"/>
        <v>כהן - עפר/יעל|2</v>
      </c>
      <c r="E118" s="9" t="str">
        <f>'לוח הסעות מוצע'!B31</f>
        <v>צהריים</v>
      </c>
      <c r="F118" s="9" t="s">
        <v>633</v>
      </c>
    </row>
    <row r="119" spans="1:6">
      <c r="A119" s="9" t="str">
        <f>'לוח הסעות מוצע'!D31</f>
        <v>רבינס - רונן/מאיה</v>
      </c>
      <c r="B119" s="10">
        <f>'לוח הסעות מוצע'!A31</f>
        <v>46395</v>
      </c>
      <c r="C119" s="9">
        <f>COUNTIF($A$2:A119,A119)</f>
        <v>2</v>
      </c>
      <c r="D119" s="9" t="str">
        <f t="shared" si="1"/>
        <v>רבינס - רונן/מאיה|2</v>
      </c>
      <c r="E119" s="9" t="str">
        <f>'לוח הסעות מוצע'!B31</f>
        <v>צהריים</v>
      </c>
      <c r="F119" s="9" t="s">
        <v>633</v>
      </c>
    </row>
    <row r="120" spans="1:6">
      <c r="A120" s="9" t="str">
        <f>'לוח הסעות מוצע'!E31</f>
        <v>שראייר - יואב/שירן טובה</v>
      </c>
      <c r="B120" s="10">
        <f>'לוח הסעות מוצע'!A31</f>
        <v>46395</v>
      </c>
      <c r="C120" s="9">
        <f>COUNTIF($A$2:A120,A120)</f>
        <v>2</v>
      </c>
      <c r="D120" s="9" t="str">
        <f t="shared" si="1"/>
        <v>שראייר - יואב/שירן טובה|2</v>
      </c>
      <c r="E120" s="9" t="str">
        <f>'לוח הסעות מוצע'!B31</f>
        <v>צהריים</v>
      </c>
      <c r="F120" s="9" t="s">
        <v>633</v>
      </c>
    </row>
    <row r="121" spans="1:6">
      <c r="A121" s="9" t="str">
        <f>'לוח הסעות מוצע'!F31</f>
        <v>טל - דרור/אלינור</v>
      </c>
      <c r="B121" s="10">
        <f>'לוח הסעות מוצע'!A31</f>
        <v>46395</v>
      </c>
      <c r="C121" s="9">
        <f>COUNTIF($A$2:A121,A121)</f>
        <v>2</v>
      </c>
      <c r="D121" s="9" t="str">
        <f t="shared" si="1"/>
        <v>טל - דרור/אלינור|2</v>
      </c>
      <c r="E121" s="9" t="str">
        <f>'לוח הסעות מוצע'!B31</f>
        <v>צהריים</v>
      </c>
      <c r="F121" s="9" t="s">
        <v>634</v>
      </c>
    </row>
    <row r="122" spans="1:6">
      <c r="A122" s="9" t="str">
        <f>'לוח הסעות מוצע'!C32</f>
        <v>פוגל יצחקי - שלומי/מיכל</v>
      </c>
      <c r="B122" s="10">
        <f>'לוח הסעות מוצע'!A32</f>
        <v>46402</v>
      </c>
      <c r="C122" s="9">
        <f>COUNTIF($A$2:A122,A122)</f>
        <v>2</v>
      </c>
      <c r="D122" s="9" t="str">
        <f t="shared" si="1"/>
        <v>פוגל יצחקי - שלומי/מיכל|2</v>
      </c>
      <c r="E122" s="9" t="str">
        <f>'לוח הסעות מוצע'!B32</f>
        <v>בוקר</v>
      </c>
      <c r="F122" s="9" t="s">
        <v>633</v>
      </c>
    </row>
    <row r="123" spans="1:6">
      <c r="A123" s="9" t="str">
        <f>'לוח הסעות מוצע'!D32</f>
        <v>פרידמן אהרון - עודד/מיכל</v>
      </c>
      <c r="B123" s="10">
        <f>'לוח הסעות מוצע'!A32</f>
        <v>46402</v>
      </c>
      <c r="C123" s="9">
        <f>COUNTIF($A$2:A123,A123)</f>
        <v>2</v>
      </c>
      <c r="D123" s="9" t="str">
        <f t="shared" si="1"/>
        <v>פרידמן אהרון - עודד/מיכל|2</v>
      </c>
      <c r="E123" s="9" t="str">
        <f>'לוח הסעות מוצע'!B32</f>
        <v>בוקר</v>
      </c>
      <c r="F123" s="9" t="s">
        <v>633</v>
      </c>
    </row>
    <row r="124" spans="1:6">
      <c r="A124" s="9" t="str">
        <f>'לוח הסעות מוצע'!E32</f>
        <v>גור - ינון/מיטל</v>
      </c>
      <c r="B124" s="10">
        <f>'לוח הסעות מוצע'!A32</f>
        <v>46402</v>
      </c>
      <c r="C124" s="9">
        <f>COUNTIF($A$2:A124,A124)</f>
        <v>2</v>
      </c>
      <c r="D124" s="9" t="str">
        <f t="shared" si="1"/>
        <v>גור - ינון/מיטל|2</v>
      </c>
      <c r="E124" s="9" t="str">
        <f>'לוח הסעות מוצע'!B32</f>
        <v>בוקר</v>
      </c>
      <c r="F124" s="9" t="s">
        <v>633</v>
      </c>
    </row>
    <row r="125" spans="1:6">
      <c r="A125" s="9" t="str">
        <f>'לוח הסעות מוצע'!F32</f>
        <v>הרוש - ניר/רינת</v>
      </c>
      <c r="B125" s="10">
        <f>'לוח הסעות מוצע'!A32</f>
        <v>46402</v>
      </c>
      <c r="C125" s="9">
        <f>COUNTIF($A$2:A125,A125)</f>
        <v>1</v>
      </c>
      <c r="D125" s="9" t="str">
        <f t="shared" si="1"/>
        <v>הרוש - ניר/רינת|1</v>
      </c>
      <c r="E125" s="9" t="str">
        <f>'לוח הסעות מוצע'!B32</f>
        <v>בוקר</v>
      </c>
      <c r="F125" s="9" t="s">
        <v>634</v>
      </c>
    </row>
    <row r="126" spans="1:6">
      <c r="A126" s="9" t="str">
        <f>'לוח הסעות מוצע'!C33</f>
        <v>הדס - אלדד/אנה</v>
      </c>
      <c r="B126" s="10">
        <f>'לוח הסעות מוצע'!A33</f>
        <v>46402</v>
      </c>
      <c r="C126" s="9">
        <f>COUNTIF($A$2:A126,A126)</f>
        <v>2</v>
      </c>
      <c r="D126" s="9" t="str">
        <f t="shared" si="1"/>
        <v>הדס - אלדד/אנה|2</v>
      </c>
      <c r="E126" s="9" t="str">
        <f>'לוח הסעות מוצע'!B33</f>
        <v>צהריים</v>
      </c>
      <c r="F126" s="9" t="s">
        <v>633</v>
      </c>
    </row>
    <row r="127" spans="1:6">
      <c r="A127" s="9" t="str">
        <f>'לוח הסעות מוצע'!D33</f>
        <v>שדמי חיון - ליאור/רוני</v>
      </c>
      <c r="B127" s="10">
        <f>'לוח הסעות מוצע'!A33</f>
        <v>46402</v>
      </c>
      <c r="C127" s="9">
        <f>COUNTIF($A$2:A127,A127)</f>
        <v>2</v>
      </c>
      <c r="D127" s="9" t="str">
        <f t="shared" si="1"/>
        <v>שדמי חיון - ליאור/רוני|2</v>
      </c>
      <c r="E127" s="9" t="str">
        <f>'לוח הסעות מוצע'!B33</f>
        <v>צהריים</v>
      </c>
      <c r="F127" s="9" t="s">
        <v>633</v>
      </c>
    </row>
    <row r="128" spans="1:6">
      <c r="A128" s="9" t="str">
        <f>'לוח הסעות מוצע'!E33</f>
        <v>חדד - משה/רחל</v>
      </c>
      <c r="B128" s="10">
        <f>'לוח הסעות מוצע'!A33</f>
        <v>46402</v>
      </c>
      <c r="C128" s="9">
        <f>COUNTIF($A$2:A128,A128)</f>
        <v>2</v>
      </c>
      <c r="D128" s="9" t="str">
        <f t="shared" si="1"/>
        <v>חדד - משה/רחל|2</v>
      </c>
      <c r="E128" s="9" t="str">
        <f>'לוח הסעות מוצע'!B33</f>
        <v>צהריים</v>
      </c>
      <c r="F128" s="9" t="s">
        <v>633</v>
      </c>
    </row>
    <row r="129" spans="1:6">
      <c r="A129" s="9" t="str">
        <f>'לוח הסעות מוצע'!F33</f>
        <v>בקון מזור - דגן/הגר</v>
      </c>
      <c r="B129" s="10">
        <f>'לוח הסעות מוצע'!A33</f>
        <v>46402</v>
      </c>
      <c r="C129" s="9">
        <f>COUNTIF($A$2:A129,A129)</f>
        <v>1</v>
      </c>
      <c r="D129" s="9" t="str">
        <f t="shared" si="1"/>
        <v>בקון מזור - דגן/הגר|1</v>
      </c>
      <c r="E129" s="9" t="str">
        <f>'לוח הסעות מוצע'!B33</f>
        <v>צהריים</v>
      </c>
      <c r="F129" s="9" t="s">
        <v>634</v>
      </c>
    </row>
    <row r="130" spans="1:6">
      <c r="A130" s="9" t="str">
        <f>'לוח הסעות מוצע'!C34</f>
        <v>להב - ערן (דוד/יערה</v>
      </c>
      <c r="B130" s="10">
        <f>'לוח הסעות מוצע'!A34</f>
        <v>46409</v>
      </c>
      <c r="C130" s="9">
        <f>COUNTIF($A$2:A130,A130)</f>
        <v>2</v>
      </c>
      <c r="D130" s="9" t="str">
        <f t="shared" ref="D130:D193" si="2">A130&amp;"|"&amp;C130</f>
        <v>להב - ערן (דוד/יערה|2</v>
      </c>
      <c r="E130" s="9" t="str">
        <f>'לוח הסעות מוצע'!B34</f>
        <v>בוקר</v>
      </c>
      <c r="F130" s="9" t="s">
        <v>633</v>
      </c>
    </row>
    <row r="131" spans="1:6">
      <c r="A131" s="9" t="str">
        <f>'לוח הסעות מוצע'!D34</f>
        <v>פארן - נוה/אפרת</v>
      </c>
      <c r="B131" s="10">
        <f>'לוח הסעות מוצע'!A34</f>
        <v>46409</v>
      </c>
      <c r="C131" s="9">
        <f>COUNTIF($A$2:A131,A131)</f>
        <v>2</v>
      </c>
      <c r="D131" s="9" t="str">
        <f t="shared" si="2"/>
        <v>פארן - נוה/אפרת|2</v>
      </c>
      <c r="E131" s="9" t="str">
        <f>'לוח הסעות מוצע'!B34</f>
        <v>בוקר</v>
      </c>
      <c r="F131" s="9" t="s">
        <v>633</v>
      </c>
    </row>
    <row r="132" spans="1:6">
      <c r="A132" s="9" t="str">
        <f>'לוח הסעות מוצע'!E34</f>
        <v>ברטוב - שי/אורלי דב</v>
      </c>
      <c r="B132" s="10">
        <f>'לוח הסעות מוצע'!A34</f>
        <v>46409</v>
      </c>
      <c r="C132" s="9">
        <f>COUNTIF($A$2:A132,A132)</f>
        <v>2</v>
      </c>
      <c r="D132" s="9" t="str">
        <f t="shared" si="2"/>
        <v>ברטוב - שי/אורלי דב|2</v>
      </c>
      <c r="E132" s="9" t="str">
        <f>'לוח הסעות מוצע'!B34</f>
        <v>בוקר</v>
      </c>
      <c r="F132" s="9" t="s">
        <v>633</v>
      </c>
    </row>
    <row r="133" spans="1:6">
      <c r="A133" s="9" t="str">
        <f>'לוח הסעות מוצע'!F34</f>
        <v>חזן - גיא/נועה סול</v>
      </c>
      <c r="B133" s="10">
        <f>'לוח הסעות מוצע'!A34</f>
        <v>46409</v>
      </c>
      <c r="C133" s="9">
        <f>COUNTIF($A$2:A133,A133)</f>
        <v>2</v>
      </c>
      <c r="D133" s="9" t="str">
        <f t="shared" si="2"/>
        <v>חזן - גיא/נועה סול|2</v>
      </c>
      <c r="E133" s="9" t="str">
        <f>'לוח הסעות מוצע'!B34</f>
        <v>בוקר</v>
      </c>
      <c r="F133" s="9" t="s">
        <v>634</v>
      </c>
    </row>
    <row r="134" spans="1:6">
      <c r="A134" s="9" t="str">
        <f>'לוח הסעות מוצע'!C35</f>
        <v>גולדפרב - שימי/אורטל</v>
      </c>
      <c r="B134" s="10">
        <f>'לוח הסעות מוצע'!A35</f>
        <v>46409</v>
      </c>
      <c r="C134" s="9">
        <f>COUNTIF($A$2:A134,A134)</f>
        <v>2</v>
      </c>
      <c r="D134" s="9" t="str">
        <f t="shared" si="2"/>
        <v>גולדפרב - שימי/אורטל|2</v>
      </c>
      <c r="E134" s="9" t="str">
        <f>'לוח הסעות מוצע'!B35</f>
        <v>צהריים</v>
      </c>
      <c r="F134" s="9" t="s">
        <v>633</v>
      </c>
    </row>
    <row r="135" spans="1:6">
      <c r="A135" s="9" t="str">
        <f>'לוח הסעות מוצע'!D35</f>
        <v>בירקנפלד - גל/לילי</v>
      </c>
      <c r="B135" s="10">
        <f>'לוח הסעות מוצע'!A35</f>
        <v>46409</v>
      </c>
      <c r="C135" s="9">
        <f>COUNTIF($A$2:A135,A135)</f>
        <v>2</v>
      </c>
      <c r="D135" s="9" t="str">
        <f t="shared" si="2"/>
        <v>בירקנפלד - גל/לילי|2</v>
      </c>
      <c r="E135" s="9" t="str">
        <f>'לוח הסעות מוצע'!B35</f>
        <v>צהריים</v>
      </c>
      <c r="F135" s="9" t="s">
        <v>633</v>
      </c>
    </row>
    <row r="136" spans="1:6">
      <c r="A136" s="9" t="str">
        <f>'לוח הסעות מוצע'!E35</f>
        <v>יצחקי - אהוד/מורן</v>
      </c>
      <c r="B136" s="10">
        <f>'לוח הסעות מוצע'!A35</f>
        <v>46409</v>
      </c>
      <c r="C136" s="9">
        <f>COUNTIF($A$2:A136,A136)</f>
        <v>2</v>
      </c>
      <c r="D136" s="9" t="str">
        <f t="shared" si="2"/>
        <v>יצחקי - אהוד/מורן|2</v>
      </c>
      <c r="E136" s="9" t="str">
        <f>'לוח הסעות מוצע'!B35</f>
        <v>צהריים</v>
      </c>
      <c r="F136" s="9" t="s">
        <v>633</v>
      </c>
    </row>
    <row r="137" spans="1:6">
      <c r="A137" s="9" t="str">
        <f>'לוח הסעות מוצע'!F35</f>
        <v>מולכו - נועם/אנטל</v>
      </c>
      <c r="B137" s="10">
        <f>'לוח הסעות מוצע'!A35</f>
        <v>46409</v>
      </c>
      <c r="C137" s="9">
        <f>COUNTIF($A$2:A137,A137)</f>
        <v>2</v>
      </c>
      <c r="D137" s="9" t="str">
        <f t="shared" si="2"/>
        <v>מולכו - נועם/אנטל|2</v>
      </c>
      <c r="E137" s="9" t="str">
        <f>'לוח הסעות מוצע'!B35</f>
        <v>צהריים</v>
      </c>
      <c r="F137" s="9" t="s">
        <v>634</v>
      </c>
    </row>
    <row r="138" spans="1:6">
      <c r="A138" s="9" t="str">
        <f>'לוח הסעות מוצע'!C36</f>
        <v>בנימין - יונתן לואיס/הדס</v>
      </c>
      <c r="B138" s="10">
        <f>'לוח הסעות מוצע'!A36</f>
        <v>46416</v>
      </c>
      <c r="C138" s="9">
        <f>COUNTIF($A$2:A138,A138)</f>
        <v>2</v>
      </c>
      <c r="D138" s="9" t="str">
        <f t="shared" si="2"/>
        <v>בנימין - יונתן לואיס/הדס|2</v>
      </c>
      <c r="E138" s="9" t="str">
        <f>'לוח הסעות מוצע'!B36</f>
        <v>בוקר</v>
      </c>
      <c r="F138" s="9" t="s">
        <v>633</v>
      </c>
    </row>
    <row r="139" spans="1:6">
      <c r="A139" s="9" t="str">
        <f>'לוח הסעות מוצע'!D36</f>
        <v>דוידי - יגאל/הילה</v>
      </c>
      <c r="B139" s="10">
        <f>'לוח הסעות מוצע'!A36</f>
        <v>46416</v>
      </c>
      <c r="C139" s="9">
        <f>COUNTIF($A$2:A139,A139)</f>
        <v>2</v>
      </c>
      <c r="D139" s="9" t="str">
        <f t="shared" si="2"/>
        <v>דוידי - יגאל/הילה|2</v>
      </c>
      <c r="E139" s="9" t="str">
        <f>'לוח הסעות מוצע'!B36</f>
        <v>בוקר</v>
      </c>
      <c r="F139" s="9" t="s">
        <v>633</v>
      </c>
    </row>
    <row r="140" spans="1:6">
      <c r="A140" s="9" t="str">
        <f>'לוח הסעות מוצע'!E36</f>
        <v>שואף - נדב/ציפי</v>
      </c>
      <c r="B140" s="10">
        <f>'לוח הסעות מוצע'!A36</f>
        <v>46416</v>
      </c>
      <c r="C140" s="9">
        <f>COUNTIF($A$2:A140,A140)</f>
        <v>2</v>
      </c>
      <c r="D140" s="9" t="str">
        <f t="shared" si="2"/>
        <v>שואף - נדב/ציפי|2</v>
      </c>
      <c r="E140" s="9" t="str">
        <f>'לוח הסעות מוצע'!B36</f>
        <v>בוקר</v>
      </c>
      <c r="F140" s="9" t="s">
        <v>633</v>
      </c>
    </row>
    <row r="141" spans="1:6">
      <c r="A141" s="9" t="str">
        <f>'לוח הסעות מוצע'!F36</f>
        <v>פרי - שלומי/איסי לי</v>
      </c>
      <c r="B141" s="10">
        <f>'לוח הסעות מוצע'!A36</f>
        <v>46416</v>
      </c>
      <c r="C141" s="9">
        <f>COUNTIF($A$2:A141,A141)</f>
        <v>2</v>
      </c>
      <c r="D141" s="9" t="str">
        <f t="shared" si="2"/>
        <v>פרי - שלומי/איסי לי|2</v>
      </c>
      <c r="E141" s="9" t="str">
        <f>'לוח הסעות מוצע'!B36</f>
        <v>בוקר</v>
      </c>
      <c r="F141" s="9" t="s">
        <v>634</v>
      </c>
    </row>
    <row r="142" spans="1:6">
      <c r="A142" s="9" t="str">
        <f>'לוח הסעות מוצע'!C37</f>
        <v>כהן - מתן/רותם</v>
      </c>
      <c r="B142" s="10">
        <f>'לוח הסעות מוצע'!A37</f>
        <v>46416</v>
      </c>
      <c r="C142" s="9">
        <f>COUNTIF($A$2:A142,A142)</f>
        <v>2</v>
      </c>
      <c r="D142" s="9" t="str">
        <f t="shared" si="2"/>
        <v>כהן - מתן/רותם|2</v>
      </c>
      <c r="E142" s="9" t="str">
        <f>'לוח הסעות מוצע'!B37</f>
        <v>צהריים</v>
      </c>
      <c r="F142" s="9" t="s">
        <v>633</v>
      </c>
    </row>
    <row r="143" spans="1:6">
      <c r="A143" s="9" t="str">
        <f>'לוח הסעות מוצע'!D37</f>
        <v>אפללו - יגאל/אפרת</v>
      </c>
      <c r="B143" s="10">
        <f>'לוח הסעות מוצע'!A37</f>
        <v>46416</v>
      </c>
      <c r="C143" s="9">
        <f>COUNTIF($A$2:A143,A143)</f>
        <v>2</v>
      </c>
      <c r="D143" s="9" t="str">
        <f t="shared" si="2"/>
        <v>אפללו - יגאל/אפרת|2</v>
      </c>
      <c r="E143" s="9" t="str">
        <f>'לוח הסעות מוצע'!B37</f>
        <v>צהריים</v>
      </c>
      <c r="F143" s="9" t="s">
        <v>633</v>
      </c>
    </row>
    <row r="144" spans="1:6">
      <c r="A144" s="9" t="str">
        <f>'לוח הסעות מוצע'!E37</f>
        <v>ז'נסקר פז - אדוארד/הילה</v>
      </c>
      <c r="B144" s="10">
        <f>'לוח הסעות מוצע'!A37</f>
        <v>46416</v>
      </c>
      <c r="C144" s="9">
        <f>COUNTIF($A$2:A144,A144)</f>
        <v>2</v>
      </c>
      <c r="D144" s="9" t="str">
        <f t="shared" si="2"/>
        <v>ז'נסקר פז - אדוארד/הילה|2</v>
      </c>
      <c r="E144" s="9" t="str">
        <f>'לוח הסעות מוצע'!B37</f>
        <v>צהריים</v>
      </c>
      <c r="F144" s="9" t="s">
        <v>633</v>
      </c>
    </row>
    <row r="145" spans="1:6">
      <c r="A145" s="9" t="str">
        <f>'לוח הסעות מוצע'!F37</f>
        <v>גוטמן - נמרוד/אפרת</v>
      </c>
      <c r="B145" s="10">
        <f>'לוח הסעות מוצע'!A37</f>
        <v>46416</v>
      </c>
      <c r="C145" s="9">
        <f>COUNTIF($A$2:A145,A145)</f>
        <v>2</v>
      </c>
      <c r="D145" s="9" t="str">
        <f t="shared" si="2"/>
        <v>גוטמן - נמרוד/אפרת|2</v>
      </c>
      <c r="E145" s="9" t="str">
        <f>'לוח הסעות מוצע'!B37</f>
        <v>צהריים</v>
      </c>
      <c r="F145" s="9" t="s">
        <v>634</v>
      </c>
    </row>
    <row r="146" spans="1:6">
      <c r="A146" s="9" t="str">
        <f>'לוח הסעות מוצע'!C38</f>
        <v>אנגלשטיין - דיו נויה</v>
      </c>
      <c r="B146" s="10">
        <f>'לוח הסעות מוצע'!A38</f>
        <v>46423</v>
      </c>
      <c r="C146" s="9">
        <f>COUNTIF($A$2:A146,A146)</f>
        <v>2</v>
      </c>
      <c r="D146" s="9" t="str">
        <f t="shared" si="2"/>
        <v>אנגלשטיין - דיו נויה|2</v>
      </c>
      <c r="E146" s="9" t="str">
        <f>'לוח הסעות מוצע'!B38</f>
        <v>בוקר</v>
      </c>
      <c r="F146" s="9" t="s">
        <v>633</v>
      </c>
    </row>
    <row r="147" spans="1:6">
      <c r="A147" s="9" t="str">
        <f>'לוח הסעות מוצע'!D38</f>
        <v>בקון - דקל/מור</v>
      </c>
      <c r="B147" s="10">
        <f>'לוח הסעות מוצע'!A38</f>
        <v>46423</v>
      </c>
      <c r="C147" s="9">
        <f>COUNTIF($A$2:A147,A147)</f>
        <v>1</v>
      </c>
      <c r="D147" s="9" t="str">
        <f t="shared" si="2"/>
        <v>בקון - דקל/מור|1</v>
      </c>
      <c r="E147" s="9" t="str">
        <f>'לוח הסעות מוצע'!B38</f>
        <v>בוקר</v>
      </c>
      <c r="F147" s="9" t="s">
        <v>633</v>
      </c>
    </row>
    <row r="148" spans="1:6">
      <c r="A148" s="9" t="str">
        <f>'לוח הסעות מוצע'!E38</f>
        <v>גונן - לירון/אולגה</v>
      </c>
      <c r="B148" s="10">
        <f>'לוח הסעות מוצע'!A38</f>
        <v>46423</v>
      </c>
      <c r="C148" s="9">
        <f>COUNTIF($A$2:A148,A148)</f>
        <v>2</v>
      </c>
      <c r="D148" s="9" t="str">
        <f t="shared" si="2"/>
        <v>גונן - לירון/אולגה|2</v>
      </c>
      <c r="E148" s="9" t="str">
        <f>'לוח הסעות מוצע'!B38</f>
        <v>בוקר</v>
      </c>
      <c r="F148" s="9" t="s">
        <v>633</v>
      </c>
    </row>
    <row r="149" spans="1:6">
      <c r="A149" s="9" t="str">
        <f>'לוח הסעות מוצע'!F38</f>
        <v>פרידמן - ברק/שניר</v>
      </c>
      <c r="B149" s="10">
        <f>'לוח הסעות מוצע'!A38</f>
        <v>46423</v>
      </c>
      <c r="C149" s="9">
        <f>COUNTIF($A$2:A149,A149)</f>
        <v>2</v>
      </c>
      <c r="D149" s="9" t="str">
        <f t="shared" si="2"/>
        <v>פרידמן - ברק/שניר|2</v>
      </c>
      <c r="E149" s="9" t="str">
        <f>'לוח הסעות מוצע'!B38</f>
        <v>בוקר</v>
      </c>
      <c r="F149" s="9" t="s">
        <v>634</v>
      </c>
    </row>
    <row r="150" spans="1:6">
      <c r="A150" s="9" t="str">
        <f>'לוח הסעות מוצע'!C39</f>
        <v>בקון - דקל/מור</v>
      </c>
      <c r="B150" s="10">
        <f>'לוח הסעות מוצע'!A39</f>
        <v>46423</v>
      </c>
      <c r="C150" s="9">
        <f>COUNTIF($A$2:A150,A150)</f>
        <v>2</v>
      </c>
      <c r="D150" s="9" t="str">
        <f t="shared" si="2"/>
        <v>בקון - דקל/מור|2</v>
      </c>
      <c r="E150" s="9" t="str">
        <f>'לוח הסעות מוצע'!B39</f>
        <v>צהריים</v>
      </c>
      <c r="F150" s="9" t="s">
        <v>633</v>
      </c>
    </row>
    <row r="151" spans="1:6">
      <c r="A151" s="9" t="str">
        <f>'לוח הסעות מוצע'!D39</f>
        <v>דוידסון - רונן אנד/עמית</v>
      </c>
      <c r="B151" s="10">
        <f>'לוח הסעות מוצע'!A39</f>
        <v>46423</v>
      </c>
      <c r="C151" s="9">
        <f>COUNTIF($A$2:A151,A151)</f>
        <v>2</v>
      </c>
      <c r="D151" s="9" t="str">
        <f t="shared" si="2"/>
        <v>דוידסון - רונן אנד/עמית|2</v>
      </c>
      <c r="E151" s="9" t="str">
        <f>'לוח הסעות מוצע'!B39</f>
        <v>צהריים</v>
      </c>
      <c r="F151" s="9" t="s">
        <v>633</v>
      </c>
    </row>
    <row r="152" spans="1:6">
      <c r="A152" s="9" t="str">
        <f>'לוח הסעות מוצע'!E39</f>
        <v>קרימרמן - מטיאס גב/אשרה</v>
      </c>
      <c r="B152" s="10">
        <f>'לוח הסעות מוצע'!A39</f>
        <v>46423</v>
      </c>
      <c r="C152" s="9">
        <f>COUNTIF($A$2:A152,A152)</f>
        <v>2</v>
      </c>
      <c r="D152" s="9" t="str">
        <f t="shared" si="2"/>
        <v>קרימרמן - מטיאס גב/אשרה|2</v>
      </c>
      <c r="E152" s="9" t="str">
        <f>'לוח הסעות מוצע'!B39</f>
        <v>צהריים</v>
      </c>
      <c r="F152" s="9" t="s">
        <v>633</v>
      </c>
    </row>
    <row r="153" spans="1:6">
      <c r="A153" s="9" t="str">
        <f>'לוח הסעות מוצע'!F39</f>
        <v>גרבי - דרור ישר/הלה</v>
      </c>
      <c r="B153" s="10">
        <f>'לוח הסעות מוצע'!A39</f>
        <v>46423</v>
      </c>
      <c r="C153" s="9">
        <f>COUNTIF($A$2:A153,A153)</f>
        <v>2</v>
      </c>
      <c r="D153" s="9" t="str">
        <f t="shared" si="2"/>
        <v>גרבי - דרור ישר/הלה|2</v>
      </c>
      <c r="E153" s="9" t="str">
        <f>'לוח הסעות מוצע'!B39</f>
        <v>צהריים</v>
      </c>
      <c r="F153" s="9" t="s">
        <v>634</v>
      </c>
    </row>
    <row r="154" spans="1:6">
      <c r="A154" s="9" t="str">
        <f>'לוח הסעות מוצע'!C40</f>
        <v>אליהו - הדר/לימור</v>
      </c>
      <c r="B154" s="10">
        <f>'לוח הסעות מוצע'!A40</f>
        <v>46430</v>
      </c>
      <c r="C154" s="9">
        <f>COUNTIF($A$2:A154,A154)</f>
        <v>2</v>
      </c>
      <c r="D154" s="9" t="str">
        <f t="shared" si="2"/>
        <v>אליהו - הדר/לימור|2</v>
      </c>
      <c r="E154" s="9" t="str">
        <f>'לוח הסעות מוצע'!B40</f>
        <v>בוקר</v>
      </c>
      <c r="F154" s="9" t="s">
        <v>633</v>
      </c>
    </row>
    <row r="155" spans="1:6">
      <c r="A155" s="9" t="str">
        <f>'לוח הסעות מוצע'!D40</f>
        <v>וייס - שחר/מיטל</v>
      </c>
      <c r="B155" s="10">
        <f>'לוח הסעות מוצע'!A40</f>
        <v>46430</v>
      </c>
      <c r="C155" s="9">
        <f>COUNTIF($A$2:A155,A155)</f>
        <v>2</v>
      </c>
      <c r="D155" s="9" t="str">
        <f t="shared" si="2"/>
        <v>וייס - שחר/מיטל|2</v>
      </c>
      <c r="E155" s="9" t="str">
        <f>'לוח הסעות מוצע'!B40</f>
        <v>בוקר</v>
      </c>
      <c r="F155" s="9" t="s">
        <v>633</v>
      </c>
    </row>
    <row r="156" spans="1:6">
      <c r="A156" s="9" t="str">
        <f>'לוח הסעות מוצע'!E40</f>
        <v>שגיא - יפתח מאי/טל</v>
      </c>
      <c r="B156" s="10">
        <f>'לוח הסעות מוצע'!A40</f>
        <v>46430</v>
      </c>
      <c r="C156" s="9">
        <f>COUNTIF($A$2:A156,A156)</f>
        <v>2</v>
      </c>
      <c r="D156" s="9" t="str">
        <f t="shared" si="2"/>
        <v>שגיא - יפתח מאי/טל|2</v>
      </c>
      <c r="E156" s="9" t="str">
        <f>'לוח הסעות מוצע'!B40</f>
        <v>בוקר</v>
      </c>
      <c r="F156" s="9" t="s">
        <v>633</v>
      </c>
    </row>
    <row r="157" spans="1:6">
      <c r="A157" s="9" t="str">
        <f>'לוח הסעות מוצע'!F40</f>
        <v>טיאר - צחי/אדוה גילה</v>
      </c>
      <c r="B157" s="10">
        <f>'לוח הסעות מוצע'!A40</f>
        <v>46430</v>
      </c>
      <c r="C157" s="9">
        <f>COUNTIF($A$2:A157,A157)</f>
        <v>2</v>
      </c>
      <c r="D157" s="9" t="str">
        <f t="shared" si="2"/>
        <v>טיאר - צחי/אדוה גילה|2</v>
      </c>
      <c r="E157" s="9" t="str">
        <f>'לוח הסעות מוצע'!B40</f>
        <v>בוקר</v>
      </c>
      <c r="F157" s="9" t="s">
        <v>634</v>
      </c>
    </row>
    <row r="158" spans="1:6">
      <c r="A158" s="9" t="str">
        <f>'לוח הסעות מוצע'!C41</f>
        <v>זר - נפתלי אליעזר/עדן</v>
      </c>
      <c r="B158" s="10">
        <f>'לוח הסעות מוצע'!A41</f>
        <v>46430</v>
      </c>
      <c r="C158" s="9">
        <f>COUNTIF($A$2:A158,A158)</f>
        <v>2</v>
      </c>
      <c r="D158" s="9" t="str">
        <f t="shared" si="2"/>
        <v>זר - נפתלי אליעזר/עדן|2</v>
      </c>
      <c r="E158" s="9" t="str">
        <f>'לוח הסעות מוצע'!B41</f>
        <v>צהריים</v>
      </c>
      <c r="F158" s="9" t="s">
        <v>633</v>
      </c>
    </row>
    <row r="159" spans="1:6">
      <c r="A159" s="9" t="str">
        <f>'לוח הסעות מוצע'!D41</f>
        <v>ליבוביץ - אלון/דקלה צבי</v>
      </c>
      <c r="B159" s="10">
        <f>'לוח הסעות מוצע'!A41</f>
        <v>46430</v>
      </c>
      <c r="C159" s="9">
        <f>COUNTIF($A$2:A159,A159)</f>
        <v>2</v>
      </c>
      <c r="D159" s="9" t="str">
        <f t="shared" si="2"/>
        <v>ליבוביץ - אלון/דקלה צבי|2</v>
      </c>
      <c r="E159" s="9" t="str">
        <f>'לוח הסעות מוצע'!B41</f>
        <v>צהריים</v>
      </c>
      <c r="F159" s="9" t="s">
        <v>633</v>
      </c>
    </row>
    <row r="160" spans="1:6">
      <c r="A160" s="9" t="str">
        <f>'לוח הסעות מוצע'!E41</f>
        <v>קלפון - אליאב/אורית</v>
      </c>
      <c r="B160" s="10">
        <f>'לוח הסעות מוצע'!A41</f>
        <v>46430</v>
      </c>
      <c r="C160" s="9">
        <f>COUNTIF($A$2:A160,A160)</f>
        <v>3</v>
      </c>
      <c r="D160" s="9" t="str">
        <f t="shared" si="2"/>
        <v>קלפון - אליאב/אורית|3</v>
      </c>
      <c r="E160" s="9" t="str">
        <f>'לוח הסעות מוצע'!B41</f>
        <v>צהריים</v>
      </c>
      <c r="F160" s="9" t="s">
        <v>633</v>
      </c>
    </row>
    <row r="161" spans="1:6">
      <c r="A161" s="9" t="str">
        <f>'לוח הסעות מוצע'!F41</f>
        <v>ישנו - אורי/ליאור</v>
      </c>
      <c r="B161" s="10">
        <f>'לוח הסעות מוצע'!A41</f>
        <v>46430</v>
      </c>
      <c r="C161" s="9">
        <f>COUNTIF($A$2:A161,A161)</f>
        <v>2</v>
      </c>
      <c r="D161" s="9" t="str">
        <f t="shared" si="2"/>
        <v>ישנו - אורי/ליאור|2</v>
      </c>
      <c r="E161" s="9" t="str">
        <f>'לוח הסעות מוצע'!B41</f>
        <v>צהריים</v>
      </c>
      <c r="F161" s="9" t="s">
        <v>634</v>
      </c>
    </row>
    <row r="162" spans="1:6">
      <c r="A162" s="9" t="str">
        <f>'לוח הסעות מוצע'!C42</f>
        <v>טליאס - תמיר/צליל</v>
      </c>
      <c r="B162" s="10">
        <f>'לוח הסעות מוצע'!A42</f>
        <v>46437</v>
      </c>
      <c r="C162" s="9">
        <f>COUNTIF($A$2:A162,A162)</f>
        <v>2</v>
      </c>
      <c r="D162" s="9" t="str">
        <f t="shared" si="2"/>
        <v>טליאס - תמיר/צליל|2</v>
      </c>
      <c r="E162" s="9" t="str">
        <f>'לוח הסעות מוצע'!B42</f>
        <v>בוקר</v>
      </c>
      <c r="F162" s="9" t="s">
        <v>633</v>
      </c>
    </row>
    <row r="163" spans="1:6">
      <c r="A163" s="9" t="str">
        <f>'לוח הסעות מוצע'!D42</f>
        <v>שני - ינאי/אביגל</v>
      </c>
      <c r="B163" s="10">
        <f>'לוח הסעות מוצע'!A42</f>
        <v>46437</v>
      </c>
      <c r="C163" s="9">
        <f>COUNTIF($A$2:A163,A163)</f>
        <v>2</v>
      </c>
      <c r="D163" s="9" t="str">
        <f t="shared" si="2"/>
        <v>שני - ינאי/אביגל|2</v>
      </c>
      <c r="E163" s="9" t="str">
        <f>'לוח הסעות מוצע'!B42</f>
        <v>בוקר</v>
      </c>
      <c r="F163" s="9" t="s">
        <v>633</v>
      </c>
    </row>
    <row r="164" spans="1:6">
      <c r="A164" s="9" t="str">
        <f>'לוח הסעות מוצע'!E42</f>
        <v>אמיתי - ניצן/סיון</v>
      </c>
      <c r="B164" s="10">
        <f>'לוח הסעות מוצע'!A42</f>
        <v>46437</v>
      </c>
      <c r="C164" s="9">
        <f>COUNTIF($A$2:A164,A164)</f>
        <v>2</v>
      </c>
      <c r="D164" s="9" t="str">
        <f t="shared" si="2"/>
        <v>אמיתי - ניצן/סיון|2</v>
      </c>
      <c r="E164" s="9" t="str">
        <f>'לוח הסעות מוצע'!B42</f>
        <v>בוקר</v>
      </c>
      <c r="F164" s="9" t="s">
        <v>633</v>
      </c>
    </row>
    <row r="165" spans="1:6">
      <c r="A165" s="9" t="str">
        <f>'לוח הסעות מוצע'!F42</f>
        <v>אטיאס - יקיר/גל</v>
      </c>
      <c r="B165" s="10">
        <f>'לוח הסעות מוצע'!A42</f>
        <v>46437</v>
      </c>
      <c r="C165" s="9">
        <f>COUNTIF($A$2:A165,A165)</f>
        <v>2</v>
      </c>
      <c r="D165" s="9" t="str">
        <f t="shared" si="2"/>
        <v>אטיאס - יקיר/גל|2</v>
      </c>
      <c r="E165" s="9" t="str">
        <f>'לוח הסעות מוצע'!B42</f>
        <v>בוקר</v>
      </c>
      <c r="F165" s="9" t="s">
        <v>634</v>
      </c>
    </row>
    <row r="166" spans="1:6">
      <c r="A166" s="9" t="str">
        <f>'לוח הסעות מוצע'!C43</f>
        <v>אוזרסקי - ודים/ירדן</v>
      </c>
      <c r="B166" s="10">
        <f>'לוח הסעות מוצע'!A43</f>
        <v>46437</v>
      </c>
      <c r="C166" s="9">
        <f>COUNTIF($A$2:A166,A166)</f>
        <v>1</v>
      </c>
      <c r="D166" s="9" t="str">
        <f t="shared" si="2"/>
        <v>אוזרסקי - ודים/ירדן|1</v>
      </c>
      <c r="E166" s="9" t="str">
        <f>'לוח הסעות מוצע'!B43</f>
        <v>צהריים</v>
      </c>
      <c r="F166" s="9" t="s">
        <v>633</v>
      </c>
    </row>
    <row r="167" spans="1:6">
      <c r="A167" s="9" t="str">
        <f>'לוח הסעות מוצע'!D43</f>
        <v>אל אל - שרון/סיון</v>
      </c>
      <c r="B167" s="10">
        <f>'לוח הסעות מוצע'!A43</f>
        <v>46437</v>
      </c>
      <c r="C167" s="9">
        <f>COUNTIF($A$2:A167,A167)</f>
        <v>2</v>
      </c>
      <c r="D167" s="9" t="str">
        <f t="shared" si="2"/>
        <v>אל אל - שרון/סיון|2</v>
      </c>
      <c r="E167" s="9" t="str">
        <f>'לוח הסעות מוצע'!B43</f>
        <v>צהריים</v>
      </c>
      <c r="F167" s="9" t="s">
        <v>633</v>
      </c>
    </row>
    <row r="168" spans="1:6">
      <c r="A168" s="9" t="str">
        <f>'לוח הסעות מוצע'!E43</f>
        <v>כהן - אמציה/רביד</v>
      </c>
      <c r="B168" s="10">
        <f>'לוח הסעות מוצע'!A43</f>
        <v>46437</v>
      </c>
      <c r="C168" s="9">
        <f>COUNTIF($A$2:A168,A168)</f>
        <v>2</v>
      </c>
      <c r="D168" s="9" t="str">
        <f t="shared" si="2"/>
        <v>כהן - אמציה/רביד|2</v>
      </c>
      <c r="E168" s="9" t="str">
        <f>'לוח הסעות מוצע'!B43</f>
        <v>צהריים</v>
      </c>
      <c r="F168" s="9" t="s">
        <v>633</v>
      </c>
    </row>
    <row r="169" spans="1:6">
      <c r="A169" s="9" t="str">
        <f>'לוח הסעות מוצע'!F43</f>
        <v>גליצנשטיין - רונן/הדס</v>
      </c>
      <c r="B169" s="10">
        <f>'לוח הסעות מוצע'!A43</f>
        <v>46437</v>
      </c>
      <c r="C169" s="9">
        <f>COUNTIF($A$2:A169,A169)</f>
        <v>2</v>
      </c>
      <c r="D169" s="9" t="str">
        <f t="shared" si="2"/>
        <v>גליצנשטיין - רונן/הדס|2</v>
      </c>
      <c r="E169" s="9" t="str">
        <f>'לוח הסעות מוצע'!B43</f>
        <v>צהריים</v>
      </c>
      <c r="F169" s="9" t="s">
        <v>634</v>
      </c>
    </row>
    <row r="170" spans="1:6">
      <c r="A170" s="9" t="str">
        <f>'לוח הסעות מוצע'!C44</f>
        <v>בוסיבא - ליאת</v>
      </c>
      <c r="B170" s="10">
        <f>'לוח הסעות מוצע'!A44</f>
        <v>46444</v>
      </c>
      <c r="C170" s="9">
        <f>COUNTIF($A$2:A170,A170)</f>
        <v>2</v>
      </c>
      <c r="D170" s="9" t="str">
        <f t="shared" si="2"/>
        <v>בוסיבא - ליאת|2</v>
      </c>
      <c r="E170" s="9" t="str">
        <f>'לוח הסעות מוצע'!B44</f>
        <v>בוקר</v>
      </c>
      <c r="F170" s="9" t="s">
        <v>633</v>
      </c>
    </row>
    <row r="171" spans="1:6">
      <c r="A171" s="9" t="str">
        <f>'לוח הסעות מוצע'!D44</f>
        <v>בן ארוש - חגי חיים/שני</v>
      </c>
      <c r="B171" s="10">
        <f>'לוח הסעות מוצע'!A44</f>
        <v>46444</v>
      </c>
      <c r="C171" s="9">
        <f>COUNTIF($A$2:A171,A171)</f>
        <v>2</v>
      </c>
      <c r="D171" s="9" t="str">
        <f t="shared" si="2"/>
        <v>בן ארוש - חגי חיים/שני|2</v>
      </c>
      <c r="E171" s="9" t="str">
        <f>'לוח הסעות מוצע'!B44</f>
        <v>בוקר</v>
      </c>
      <c r="F171" s="9" t="s">
        <v>633</v>
      </c>
    </row>
    <row r="172" spans="1:6">
      <c r="A172" s="9" t="str">
        <f>'לוח הסעות מוצע'!E44</f>
        <v>רביד - אורי/איה</v>
      </c>
      <c r="B172" s="10">
        <f>'לוח הסעות מוצע'!A44</f>
        <v>46444</v>
      </c>
      <c r="C172" s="9">
        <f>COUNTIF($A$2:A172,A172)</f>
        <v>2</v>
      </c>
      <c r="D172" s="9" t="str">
        <f t="shared" si="2"/>
        <v>רביד - אורי/איה|2</v>
      </c>
      <c r="E172" s="9" t="str">
        <f>'לוח הסעות מוצע'!B44</f>
        <v>בוקר</v>
      </c>
      <c r="F172" s="9" t="s">
        <v>633</v>
      </c>
    </row>
    <row r="173" spans="1:6">
      <c r="A173" s="9" t="str">
        <f>'לוח הסעות מוצע'!F44</f>
        <v>בכר - אביעד/נופר</v>
      </c>
      <c r="B173" s="10">
        <f>'לוח הסעות מוצע'!A44</f>
        <v>46444</v>
      </c>
      <c r="C173" s="9">
        <f>COUNTIF($A$2:A173,A173)</f>
        <v>2</v>
      </c>
      <c r="D173" s="9" t="str">
        <f t="shared" si="2"/>
        <v>בכר - אביעד/נופר|2</v>
      </c>
      <c r="E173" s="9" t="str">
        <f>'לוח הסעות מוצע'!B44</f>
        <v>בוקר</v>
      </c>
      <c r="F173" s="9" t="s">
        <v>634</v>
      </c>
    </row>
    <row r="174" spans="1:6">
      <c r="A174" s="9" t="str">
        <f>'לוח הסעות מוצע'!C45</f>
        <v>הרוש - ניר/רינת</v>
      </c>
      <c r="B174" s="10">
        <f>'לוח הסעות מוצע'!A45</f>
        <v>46444</v>
      </c>
      <c r="C174" s="9">
        <f>COUNTIF($A$2:A174,A174)</f>
        <v>2</v>
      </c>
      <c r="D174" s="9" t="str">
        <f t="shared" si="2"/>
        <v>הרוש - ניר/רינת|2</v>
      </c>
      <c r="E174" s="9" t="str">
        <f>'לוח הסעות מוצע'!B45</f>
        <v>צהריים</v>
      </c>
      <c r="F174" s="9" t="s">
        <v>633</v>
      </c>
    </row>
    <row r="175" spans="1:6">
      <c r="A175" s="9" t="str">
        <f>'לוח הסעות מוצע'!D45</f>
        <v>פריד - אמיר יעק/טלי</v>
      </c>
      <c r="B175" s="10">
        <f>'לוח הסעות מוצע'!A45</f>
        <v>46444</v>
      </c>
      <c r="C175" s="9">
        <f>COUNTIF($A$2:A175,A175)</f>
        <v>2</v>
      </c>
      <c r="D175" s="9" t="str">
        <f t="shared" si="2"/>
        <v>פריד - אמיר יעק/טלי|2</v>
      </c>
      <c r="E175" s="9" t="str">
        <f>'לוח הסעות מוצע'!B45</f>
        <v>צהריים</v>
      </c>
      <c r="F175" s="9" t="s">
        <v>633</v>
      </c>
    </row>
    <row r="176" spans="1:6">
      <c r="A176" s="9" t="str">
        <f>'לוח הסעות מוצע'!E45</f>
        <v>קליינר - טל/מיכל שרית</v>
      </c>
      <c r="B176" s="10">
        <f>'לוח הסעות מוצע'!A45</f>
        <v>46444</v>
      </c>
      <c r="C176" s="9">
        <f>COUNTIF($A$2:A176,A176)</f>
        <v>2</v>
      </c>
      <c r="D176" s="9" t="str">
        <f t="shared" si="2"/>
        <v>קליינר - טל/מיכל שרית|2</v>
      </c>
      <c r="E176" s="9" t="str">
        <f>'לוח הסעות מוצע'!B45</f>
        <v>צהריים</v>
      </c>
      <c r="F176" s="9" t="s">
        <v>633</v>
      </c>
    </row>
    <row r="177" spans="1:6">
      <c r="A177" s="9" t="str">
        <f>'לוח הסעות מוצע'!F45</f>
        <v>אגאי - ערן/ליאת</v>
      </c>
      <c r="B177" s="10">
        <f>'לוח הסעות מוצע'!A45</f>
        <v>46444</v>
      </c>
      <c r="C177" s="9">
        <f>COUNTIF($A$2:A177,A177)</f>
        <v>2</v>
      </c>
      <c r="D177" s="9" t="str">
        <f t="shared" si="2"/>
        <v>אגאי - ערן/ליאת|2</v>
      </c>
      <c r="E177" s="9" t="str">
        <f>'לוח הסעות מוצע'!B45</f>
        <v>צהריים</v>
      </c>
      <c r="F177" s="9" t="s">
        <v>634</v>
      </c>
    </row>
    <row r="178" spans="1:6">
      <c r="A178" s="9" t="str">
        <f>'לוח הסעות מוצע'!C46</f>
        <v>לנקרי - עמר/לאה</v>
      </c>
      <c r="B178" s="10">
        <f>'לוח הסעות מוצע'!A46</f>
        <v>46451</v>
      </c>
      <c r="C178" s="9">
        <f>COUNTIF($A$2:A178,A178)</f>
        <v>2</v>
      </c>
      <c r="D178" s="9" t="str">
        <f t="shared" si="2"/>
        <v>לנקרי - עמר/לאה|2</v>
      </c>
      <c r="E178" s="9" t="str">
        <f>'לוח הסעות מוצע'!B46</f>
        <v>בוקר</v>
      </c>
      <c r="F178" s="9" t="s">
        <v>633</v>
      </c>
    </row>
    <row r="179" spans="1:6">
      <c r="A179" s="9" t="str">
        <f>'לוח הסעות מוצע'!D46</f>
        <v>שליי - אילן/טהר</v>
      </c>
      <c r="B179" s="10">
        <f>'לוח הסעות מוצע'!A46</f>
        <v>46451</v>
      </c>
      <c r="C179" s="9">
        <f>COUNTIF($A$2:A179,A179)</f>
        <v>2</v>
      </c>
      <c r="D179" s="9" t="str">
        <f t="shared" si="2"/>
        <v>שליי - אילן/טהר|2</v>
      </c>
      <c r="E179" s="9" t="str">
        <f>'לוח הסעות מוצע'!B46</f>
        <v>בוקר</v>
      </c>
      <c r="F179" s="9" t="s">
        <v>633</v>
      </c>
    </row>
    <row r="180" spans="1:6">
      <c r="A180" s="9" t="str">
        <f>'לוח הסעות מוצע'!E46</f>
        <v>בס - אליעזר/שימרית עירית</v>
      </c>
      <c r="B180" s="10">
        <f>'לוח הסעות מוצע'!A46</f>
        <v>46451</v>
      </c>
      <c r="C180" s="9">
        <f>COUNTIF($A$2:A180,A180)</f>
        <v>2</v>
      </c>
      <c r="D180" s="9" t="str">
        <f t="shared" si="2"/>
        <v>בס - אליעזר/שימרית עירית|2</v>
      </c>
      <c r="E180" s="9" t="str">
        <f>'לוח הסעות מוצע'!B46</f>
        <v>בוקר</v>
      </c>
      <c r="F180" s="9" t="s">
        <v>633</v>
      </c>
    </row>
    <row r="181" spans="1:6">
      <c r="A181" s="9" t="str">
        <f>'לוח הסעות מוצע'!F46</f>
        <v>בלקין פרדו ב - מרסלו/מילנה</v>
      </c>
      <c r="B181" s="10">
        <f>'לוח הסעות מוצע'!A46</f>
        <v>46451</v>
      </c>
      <c r="C181" s="9">
        <f>COUNTIF($A$2:A181,A181)</f>
        <v>2</v>
      </c>
      <c r="D181" s="9" t="str">
        <f t="shared" si="2"/>
        <v>בלקין פרדו ב - מרסלו/מילנה|2</v>
      </c>
      <c r="E181" s="9" t="str">
        <f>'לוח הסעות מוצע'!B46</f>
        <v>בוקר</v>
      </c>
      <c r="F181" s="9" t="s">
        <v>634</v>
      </c>
    </row>
    <row r="182" spans="1:6">
      <c r="A182" s="9" t="str">
        <f>'לוח הסעות מוצע'!C47</f>
        <v>סהר - יתיר/קרן שמש</v>
      </c>
      <c r="B182" s="10">
        <f>'לוח הסעות מוצע'!A47</f>
        <v>46451</v>
      </c>
      <c r="C182" s="9">
        <f>COUNTIF($A$2:A182,A182)</f>
        <v>2</v>
      </c>
      <c r="D182" s="9" t="str">
        <f t="shared" si="2"/>
        <v>סהר - יתיר/קרן שמש|2</v>
      </c>
      <c r="E182" s="9" t="str">
        <f>'לוח הסעות מוצע'!B47</f>
        <v>צהריים</v>
      </c>
      <c r="F182" s="9" t="s">
        <v>633</v>
      </c>
    </row>
    <row r="183" spans="1:6">
      <c r="A183" s="9" t="str">
        <f>'לוח הסעות מוצע'!D47</f>
        <v>אשכנזי אדלר - אוריה/מורן</v>
      </c>
      <c r="B183" s="10">
        <f>'לוח הסעות מוצע'!A47</f>
        <v>46451</v>
      </c>
      <c r="C183" s="9">
        <f>COUNTIF($A$2:A183,A183)</f>
        <v>2</v>
      </c>
      <c r="D183" s="9" t="str">
        <f t="shared" si="2"/>
        <v>אשכנזי אדלר - אוריה/מורן|2</v>
      </c>
      <c r="E183" s="9" t="str">
        <f>'לוח הסעות מוצע'!B47</f>
        <v>צהריים</v>
      </c>
      <c r="F183" s="9" t="s">
        <v>633</v>
      </c>
    </row>
    <row r="184" spans="1:6">
      <c r="A184" s="9" t="str">
        <f>'לוח הסעות מוצע'!E47</f>
        <v>זדה - רביב/מיכל</v>
      </c>
      <c r="B184" s="10">
        <f>'לוח הסעות מוצע'!A47</f>
        <v>46451</v>
      </c>
      <c r="C184" s="9">
        <f>COUNTIF($A$2:A184,A184)</f>
        <v>2</v>
      </c>
      <c r="D184" s="9" t="str">
        <f t="shared" si="2"/>
        <v>זדה - רביב/מיכל|2</v>
      </c>
      <c r="E184" s="9" t="str">
        <f>'לוח הסעות מוצע'!B47</f>
        <v>צהריים</v>
      </c>
      <c r="F184" s="9" t="s">
        <v>633</v>
      </c>
    </row>
    <row r="185" spans="1:6">
      <c r="A185" s="9" t="str">
        <f>'לוח הסעות מוצע'!F47</f>
        <v>גולני - מעין/אורית</v>
      </c>
      <c r="B185" s="10">
        <f>'לוח הסעות מוצע'!A47</f>
        <v>46451</v>
      </c>
      <c r="C185" s="9">
        <f>COUNTIF($A$2:A185,A185)</f>
        <v>2</v>
      </c>
      <c r="D185" s="9" t="str">
        <f t="shared" si="2"/>
        <v>גולני - מעין/אורית|2</v>
      </c>
      <c r="E185" s="9" t="str">
        <f>'לוח הסעות מוצע'!B47</f>
        <v>צהריים</v>
      </c>
      <c r="F185" s="9" t="s">
        <v>634</v>
      </c>
    </row>
    <row r="186" spans="1:6">
      <c r="A186" s="9" t="str">
        <f>'לוח הסעות מוצע'!C48</f>
        <v>יעקובי - יניב/הילה</v>
      </c>
      <c r="B186" s="10">
        <f>'לוח הסעות מוצע'!A48</f>
        <v>46458</v>
      </c>
      <c r="C186" s="9">
        <f>COUNTIF($A$2:A186,A186)</f>
        <v>2</v>
      </c>
      <c r="D186" s="9" t="str">
        <f t="shared" si="2"/>
        <v>יעקובי - יניב/הילה|2</v>
      </c>
      <c r="E186" s="9" t="str">
        <f>'לוח הסעות מוצע'!B48</f>
        <v>בוקר</v>
      </c>
      <c r="F186" s="9" t="s">
        <v>633</v>
      </c>
    </row>
    <row r="187" spans="1:6">
      <c r="A187" s="9" t="str">
        <f>'לוח הסעות מוצע'!D48</f>
        <v>קלוגמן - ראובן/חנית</v>
      </c>
      <c r="B187" s="10">
        <f>'לוח הסעות מוצע'!A48</f>
        <v>46458</v>
      </c>
      <c r="C187" s="9">
        <f>COUNTIF($A$2:A187,A187)</f>
        <v>2</v>
      </c>
      <c r="D187" s="9" t="str">
        <f t="shared" si="2"/>
        <v>קלוגמן - ראובן/חנית|2</v>
      </c>
      <c r="E187" s="9" t="str">
        <f>'לוח הסעות מוצע'!B48</f>
        <v>בוקר</v>
      </c>
      <c r="F187" s="9" t="s">
        <v>633</v>
      </c>
    </row>
    <row r="188" spans="1:6">
      <c r="A188" s="9" t="str">
        <f>'לוח הסעות מוצע'!E48</f>
        <v>רפפורט - אביב/ענת</v>
      </c>
      <c r="B188" s="10">
        <f>'לוח הסעות מוצע'!A48</f>
        <v>46458</v>
      </c>
      <c r="C188" s="9">
        <f>COUNTIF($A$2:A188,A188)</f>
        <v>2</v>
      </c>
      <c r="D188" s="9" t="str">
        <f t="shared" si="2"/>
        <v>רפפורט - אביב/ענת|2</v>
      </c>
      <c r="E188" s="9" t="str">
        <f>'לוח הסעות מוצע'!B48</f>
        <v>בוקר</v>
      </c>
      <c r="F188" s="9" t="s">
        <v>633</v>
      </c>
    </row>
    <row r="189" spans="1:6">
      <c r="A189" s="9" t="str">
        <f>'לוח הסעות מוצע'!F48</f>
        <v>שואף - טל/איילת</v>
      </c>
      <c r="B189" s="10">
        <f>'לוח הסעות מוצע'!A48</f>
        <v>46458</v>
      </c>
      <c r="C189" s="9">
        <f>COUNTIF($A$2:A189,A189)</f>
        <v>2</v>
      </c>
      <c r="D189" s="9" t="str">
        <f t="shared" si="2"/>
        <v>שואף - טל/איילת|2</v>
      </c>
      <c r="E189" s="9" t="str">
        <f>'לוח הסעות מוצע'!B48</f>
        <v>בוקר</v>
      </c>
      <c r="F189" s="9" t="s">
        <v>634</v>
      </c>
    </row>
    <row r="190" spans="1:6">
      <c r="A190" s="9" t="str">
        <f>'לוח הסעות מוצע'!C49</f>
        <v>כרמל - אלעד/מיכל</v>
      </c>
      <c r="B190" s="10">
        <f>'לוח הסעות מוצע'!A49</f>
        <v>46458</v>
      </c>
      <c r="C190" s="9">
        <f>COUNTIF($A$2:A190,A190)</f>
        <v>2</v>
      </c>
      <c r="D190" s="9" t="str">
        <f t="shared" si="2"/>
        <v>כרמל - אלעד/מיכל|2</v>
      </c>
      <c r="E190" s="9" t="str">
        <f>'לוח הסעות מוצע'!B49</f>
        <v>צהריים</v>
      </c>
      <c r="F190" s="9" t="s">
        <v>633</v>
      </c>
    </row>
    <row r="191" spans="1:6">
      <c r="A191" s="9" t="str">
        <f>'לוח הסעות מוצע'!D49</f>
        <v>מאיר - נתן/חן</v>
      </c>
      <c r="B191" s="10">
        <f>'לוח הסעות מוצע'!A49</f>
        <v>46458</v>
      </c>
      <c r="C191" s="9">
        <f>COUNTIF($A$2:A191,A191)</f>
        <v>2</v>
      </c>
      <c r="D191" s="9" t="str">
        <f t="shared" si="2"/>
        <v>מאיר - נתן/חן|2</v>
      </c>
      <c r="E191" s="9" t="str">
        <f>'לוח הסעות מוצע'!B49</f>
        <v>צהריים</v>
      </c>
      <c r="F191" s="9" t="s">
        <v>633</v>
      </c>
    </row>
    <row r="192" spans="1:6">
      <c r="A192" s="9" t="str">
        <f>'לוח הסעות מוצע'!E49</f>
        <v>ווינטראוב - אורן נחמן/קרן</v>
      </c>
      <c r="B192" s="10">
        <f>'לוח הסעות מוצע'!A49</f>
        <v>46458</v>
      </c>
      <c r="C192" s="9">
        <f>COUNTIF($A$2:A192,A192)</f>
        <v>2</v>
      </c>
      <c r="D192" s="9" t="str">
        <f t="shared" si="2"/>
        <v>ווינטראוב - אורן נחמן/קרן|2</v>
      </c>
      <c r="E192" s="9" t="str">
        <f>'לוח הסעות מוצע'!B49</f>
        <v>צהריים</v>
      </c>
      <c r="F192" s="9" t="s">
        <v>633</v>
      </c>
    </row>
    <row r="193" spans="1:6">
      <c r="A193" s="9" t="str">
        <f>'לוח הסעות מוצע'!F49</f>
        <v>יונקמן - נעם/פלג</v>
      </c>
      <c r="B193" s="10">
        <f>'לוח הסעות מוצע'!A49</f>
        <v>46458</v>
      </c>
      <c r="C193" s="9">
        <f>COUNTIF($A$2:A193,A193)</f>
        <v>1</v>
      </c>
      <c r="D193" s="9" t="str">
        <f t="shared" si="2"/>
        <v>יונקמן - נעם/פלג|1</v>
      </c>
      <c r="E193" s="9" t="str">
        <f>'לוח הסעות מוצע'!B49</f>
        <v>צהריים</v>
      </c>
      <c r="F193" s="9" t="s">
        <v>634</v>
      </c>
    </row>
    <row r="194" spans="1:6">
      <c r="A194" s="9" t="str">
        <f>'לוח הסעות מוצע'!C50</f>
        <v>קרימרמן - מטיאס גב/אשרה</v>
      </c>
      <c r="B194" s="10">
        <f>'לוח הסעות מוצע'!A50</f>
        <v>46465</v>
      </c>
      <c r="C194" s="9">
        <f>COUNTIF($A$2:A194,A194)</f>
        <v>3</v>
      </c>
      <c r="D194" s="9" t="str">
        <f t="shared" ref="D194:D257" si="3">A194&amp;"|"&amp;C194</f>
        <v>קרימרמן - מטיאס גב/אשרה|3</v>
      </c>
      <c r="E194" s="9" t="str">
        <f>'לוח הסעות מוצע'!B50</f>
        <v>בוקר</v>
      </c>
      <c r="F194" s="9" t="s">
        <v>633</v>
      </c>
    </row>
    <row r="195" spans="1:6">
      <c r="A195" s="9" t="str">
        <f>'לוח הסעות מוצע'!D50</f>
        <v>תורג'מן - עופר/הדס</v>
      </c>
      <c r="B195" s="10">
        <f>'לוח הסעות מוצע'!A50</f>
        <v>46465</v>
      </c>
      <c r="C195" s="9">
        <f>COUNTIF($A$2:A195,A195)</f>
        <v>3</v>
      </c>
      <c r="D195" s="9" t="str">
        <f t="shared" si="3"/>
        <v>תורג'מן - עופר/הדס|3</v>
      </c>
      <c r="E195" s="9" t="str">
        <f>'לוח הסעות מוצע'!B50</f>
        <v>בוקר</v>
      </c>
      <c r="F195" s="9" t="s">
        <v>633</v>
      </c>
    </row>
    <row r="196" spans="1:6">
      <c r="A196" s="9" t="str">
        <f>'לוח הסעות מוצע'!E50</f>
        <v>כהן - מתן/רותם</v>
      </c>
      <c r="B196" s="10">
        <f>'לוח הסעות מוצע'!A50</f>
        <v>46465</v>
      </c>
      <c r="C196" s="9">
        <f>COUNTIF($A$2:A196,A196)</f>
        <v>3</v>
      </c>
      <c r="D196" s="9" t="str">
        <f t="shared" si="3"/>
        <v>כהן - מתן/רותם|3</v>
      </c>
      <c r="E196" s="9" t="str">
        <f>'לוח הסעות מוצע'!B50</f>
        <v>בוקר</v>
      </c>
      <c r="F196" s="9" t="s">
        <v>633</v>
      </c>
    </row>
    <row r="197" spans="1:6">
      <c r="A197" s="9" t="str">
        <f>'לוח הסעות מוצע'!F50</f>
        <v>חורין - גלעד/ספיר</v>
      </c>
      <c r="B197" s="10">
        <f>'לוח הסעות מוצע'!A50</f>
        <v>46465</v>
      </c>
      <c r="C197" s="9">
        <f>COUNTIF($A$2:A197,A197)</f>
        <v>2</v>
      </c>
      <c r="D197" s="9" t="str">
        <f t="shared" si="3"/>
        <v>חורין - גלעד/ספיר|2</v>
      </c>
      <c r="E197" s="9" t="str">
        <f>'לוח הסעות מוצע'!B50</f>
        <v>בוקר</v>
      </c>
      <c r="F197" s="9" t="s">
        <v>634</v>
      </c>
    </row>
    <row r="198" spans="1:6">
      <c r="A198" s="9" t="str">
        <f>'לוח הסעות מוצע'!C51</f>
        <v>מקלר - רן/עדי</v>
      </c>
      <c r="B198" s="10">
        <f>'לוח הסעות מוצע'!A51</f>
        <v>46465</v>
      </c>
      <c r="C198" s="9">
        <f>COUNTIF($A$2:A198,A198)</f>
        <v>2</v>
      </c>
      <c r="D198" s="9" t="str">
        <f t="shared" si="3"/>
        <v>מקלר - רן/עדי|2</v>
      </c>
      <c r="E198" s="9" t="str">
        <f>'לוח הסעות מוצע'!B51</f>
        <v>צהריים</v>
      </c>
      <c r="F198" s="9" t="s">
        <v>633</v>
      </c>
    </row>
    <row r="199" spans="1:6">
      <c r="A199" s="9" t="str">
        <f>'לוח הסעות מוצע'!D51</f>
        <v>נחליאלי - גיל-עד י/עדי</v>
      </c>
      <c r="B199" s="10">
        <f>'לוח הסעות מוצע'!A51</f>
        <v>46465</v>
      </c>
      <c r="C199" s="9">
        <f>COUNTIF($A$2:A199,A199)</f>
        <v>2</v>
      </c>
      <c r="D199" s="9" t="str">
        <f t="shared" si="3"/>
        <v>נחליאלי - גיל-עד י/עדי|2</v>
      </c>
      <c r="E199" s="9" t="str">
        <f>'לוח הסעות מוצע'!B51</f>
        <v>צהריים</v>
      </c>
      <c r="F199" s="9" t="s">
        <v>633</v>
      </c>
    </row>
    <row r="200" spans="1:6">
      <c r="A200" s="9" t="str">
        <f>'לוח הסעות מוצע'!E51</f>
        <v>אלימלך - דור/רות</v>
      </c>
      <c r="B200" s="10">
        <f>'לוח הסעות מוצע'!A51</f>
        <v>46465</v>
      </c>
      <c r="C200" s="9">
        <f>COUNTIF($A$2:A200,A200)</f>
        <v>2</v>
      </c>
      <c r="D200" s="9" t="str">
        <f t="shared" si="3"/>
        <v>אלימלך - דור/רות|2</v>
      </c>
      <c r="E200" s="9" t="str">
        <f>'לוח הסעות מוצע'!B51</f>
        <v>צהריים</v>
      </c>
      <c r="F200" s="9" t="s">
        <v>633</v>
      </c>
    </row>
    <row r="201" spans="1:6">
      <c r="A201" s="9" t="str">
        <f>'לוח הסעות מוצע'!F51</f>
        <v>קרואני - שגיא/דנה</v>
      </c>
      <c r="B201" s="10">
        <f>'לוח הסעות מוצע'!A51</f>
        <v>46465</v>
      </c>
      <c r="C201" s="9">
        <f>COUNTIF($A$2:A201,A201)</f>
        <v>3</v>
      </c>
      <c r="D201" s="9" t="str">
        <f t="shared" si="3"/>
        <v>קרואני - שגיא/דנה|3</v>
      </c>
      <c r="E201" s="9" t="str">
        <f>'לוח הסעות מוצע'!B51</f>
        <v>צהריים</v>
      </c>
      <c r="F201" s="9" t="s">
        <v>634</v>
      </c>
    </row>
    <row r="202" spans="1:6">
      <c r="A202" s="9" t="str">
        <f>'לוח הסעות מוצע'!C52</f>
        <v>גוטמן - נמרוד/אפרת</v>
      </c>
      <c r="B202" s="10">
        <f>'לוח הסעות מוצע'!A52</f>
        <v>46472</v>
      </c>
      <c r="C202" s="9">
        <f>COUNTIF($A$2:A202,A202)</f>
        <v>3</v>
      </c>
      <c r="D202" s="9" t="str">
        <f t="shared" si="3"/>
        <v>גוטמן - נמרוד/אפרת|3</v>
      </c>
      <c r="E202" s="9" t="str">
        <f>'לוח הסעות מוצע'!B52</f>
        <v>בוקר</v>
      </c>
      <c r="F202" s="9" t="s">
        <v>633</v>
      </c>
    </row>
    <row r="203" spans="1:6">
      <c r="A203" s="9" t="str">
        <f>'לוח הסעות מוצע'!D52</f>
        <v>ירון - איתמר/יעל</v>
      </c>
      <c r="B203" s="10">
        <f>'לוח הסעות מוצע'!A52</f>
        <v>46472</v>
      </c>
      <c r="C203" s="9">
        <f>COUNTIF($A$2:A203,A203)</f>
        <v>3</v>
      </c>
      <c r="D203" s="9" t="str">
        <f t="shared" si="3"/>
        <v>ירון - איתמר/יעל|3</v>
      </c>
      <c r="E203" s="9" t="str">
        <f>'לוח הסעות מוצע'!B52</f>
        <v>בוקר</v>
      </c>
      <c r="F203" s="9" t="s">
        <v>633</v>
      </c>
    </row>
    <row r="204" spans="1:6">
      <c r="A204" s="9" t="str">
        <f>'לוח הסעות מוצע'!E52</f>
        <v>גרבי - דרור ישר/הלה</v>
      </c>
      <c r="B204" s="10">
        <f>'לוח הסעות מוצע'!A52</f>
        <v>46472</v>
      </c>
      <c r="C204" s="9">
        <f>COUNTIF($A$2:A204,A204)</f>
        <v>3</v>
      </c>
      <c r="D204" s="9" t="str">
        <f t="shared" si="3"/>
        <v>גרבי - דרור ישר/הלה|3</v>
      </c>
      <c r="E204" s="9" t="str">
        <f>'לוח הסעות מוצע'!B52</f>
        <v>בוקר</v>
      </c>
      <c r="F204" s="9" t="s">
        <v>633</v>
      </c>
    </row>
    <row r="205" spans="1:6">
      <c r="A205" s="9" t="str">
        <f>'לוח הסעות מוצע'!F52</f>
        <v>פרילוצקי - רומן ישר/אינה</v>
      </c>
      <c r="B205" s="10">
        <f>'לוח הסעות מוצע'!A52</f>
        <v>46472</v>
      </c>
      <c r="C205" s="9">
        <f>COUNTIF($A$2:A205,A205)</f>
        <v>3</v>
      </c>
      <c r="D205" s="9" t="str">
        <f t="shared" si="3"/>
        <v>פרילוצקי - רומן ישר/אינה|3</v>
      </c>
      <c r="E205" s="9" t="str">
        <f>'לוח הסעות מוצע'!B52</f>
        <v>בוקר</v>
      </c>
      <c r="F205" s="9" t="s">
        <v>634</v>
      </c>
    </row>
    <row r="206" spans="1:6">
      <c r="A206" s="9" t="str">
        <f>'לוח הסעות מוצע'!C53</f>
        <v>גבע - ים/מיטל אליס</v>
      </c>
      <c r="B206" s="10">
        <f>'לוח הסעות מוצע'!A53</f>
        <v>46472</v>
      </c>
      <c r="C206" s="9">
        <f>COUNTIF($A$2:A206,A206)</f>
        <v>3</v>
      </c>
      <c r="D206" s="9" t="str">
        <f t="shared" si="3"/>
        <v>גבע - ים/מיטל אליס|3</v>
      </c>
      <c r="E206" s="9" t="str">
        <f>'לוח הסעות מוצע'!B53</f>
        <v>צהריים</v>
      </c>
      <c r="F206" s="9" t="s">
        <v>633</v>
      </c>
    </row>
    <row r="207" spans="1:6">
      <c r="A207" s="9" t="str">
        <f>'לוח הסעות מוצע'!D53</f>
        <v>כהן - יהודה או/אסתי</v>
      </c>
      <c r="B207" s="10">
        <f>'לוח הסעות מוצע'!A53</f>
        <v>46472</v>
      </c>
      <c r="C207" s="9">
        <f>COUNTIF($A$2:A207,A207)</f>
        <v>3</v>
      </c>
      <c r="D207" s="9" t="str">
        <f t="shared" si="3"/>
        <v>כהן - יהודה או/אסתי|3</v>
      </c>
      <c r="E207" s="9" t="str">
        <f>'לוח הסעות מוצע'!B53</f>
        <v>צהריים</v>
      </c>
      <c r="F207" s="9" t="s">
        <v>633</v>
      </c>
    </row>
    <row r="208" spans="1:6">
      <c r="A208" s="9" t="str">
        <f>'לוח הסעות מוצע'!E53</f>
        <v>שואף - נדב/ציפי</v>
      </c>
      <c r="B208" s="10">
        <f>'לוח הסעות מוצע'!A53</f>
        <v>46472</v>
      </c>
      <c r="C208" s="9">
        <f>COUNTIF($A$2:A208,A208)</f>
        <v>3</v>
      </c>
      <c r="D208" s="9" t="str">
        <f t="shared" si="3"/>
        <v>שואף - נדב/ציפי|3</v>
      </c>
      <c r="E208" s="9" t="str">
        <f>'לוח הסעות מוצע'!B53</f>
        <v>צהריים</v>
      </c>
      <c r="F208" s="9" t="s">
        <v>633</v>
      </c>
    </row>
    <row r="209" spans="1:6">
      <c r="A209" s="9" t="str">
        <f>'לוח הסעות מוצע'!F53</f>
        <v>בן יוסף - יפתח/נטלי</v>
      </c>
      <c r="B209" s="10">
        <f>'לוח הסעות מוצע'!A53</f>
        <v>46472</v>
      </c>
      <c r="C209" s="9">
        <f>COUNTIF($A$2:A209,A209)</f>
        <v>3</v>
      </c>
      <c r="D209" s="9" t="str">
        <f t="shared" si="3"/>
        <v>בן יוסף - יפתח/נטלי|3</v>
      </c>
      <c r="E209" s="9" t="str">
        <f>'לוח הסעות מוצע'!B53</f>
        <v>צהריים</v>
      </c>
      <c r="F209" s="9" t="s">
        <v>634</v>
      </c>
    </row>
    <row r="210" spans="1:6">
      <c r="A210" s="9" t="str">
        <f>'לוח הסעות מוצע'!C54</f>
        <v>רובין - ראם/הילה</v>
      </c>
      <c r="B210" s="10">
        <f>'לוח הסעות מוצע'!A54</f>
        <v>46479</v>
      </c>
      <c r="C210" s="9">
        <f>COUNTIF($A$2:A210,A210)</f>
        <v>2</v>
      </c>
      <c r="D210" s="9" t="str">
        <f t="shared" si="3"/>
        <v>רובין - ראם/הילה|2</v>
      </c>
      <c r="E210" s="9" t="str">
        <f>'לוח הסעות מוצע'!B54</f>
        <v>בוקר</v>
      </c>
      <c r="F210" s="9" t="s">
        <v>633</v>
      </c>
    </row>
    <row r="211" spans="1:6">
      <c r="A211" s="9" t="str">
        <f>'לוח הסעות מוצע'!D54</f>
        <v>רבינס - רונן/מאיה</v>
      </c>
      <c r="B211" s="10">
        <f>'לוח הסעות מוצע'!A54</f>
        <v>46479</v>
      </c>
      <c r="C211" s="9">
        <f>COUNTIF($A$2:A211,A211)</f>
        <v>3</v>
      </c>
      <c r="D211" s="9" t="str">
        <f t="shared" si="3"/>
        <v>רבינס - רונן/מאיה|3</v>
      </c>
      <c r="E211" s="9" t="str">
        <f>'לוח הסעות מוצע'!B54</f>
        <v>בוקר</v>
      </c>
      <c r="F211" s="9" t="s">
        <v>633</v>
      </c>
    </row>
    <row r="212" spans="1:6">
      <c r="A212" s="9" t="str">
        <f>'לוח הסעות מוצע'!E54</f>
        <v>ישנו - אורי/ליאור</v>
      </c>
      <c r="B212" s="10">
        <f>'לוח הסעות מוצע'!A54</f>
        <v>46479</v>
      </c>
      <c r="C212" s="9">
        <f>COUNTIF($A$2:A212,A212)</f>
        <v>3</v>
      </c>
      <c r="D212" s="9" t="str">
        <f t="shared" si="3"/>
        <v>ישנו - אורי/ליאור|3</v>
      </c>
      <c r="E212" s="9" t="str">
        <f>'לוח הסעות מוצע'!B54</f>
        <v>בוקר</v>
      </c>
      <c r="F212" s="9" t="s">
        <v>633</v>
      </c>
    </row>
    <row r="213" spans="1:6">
      <c r="A213" s="9" t="str">
        <f>'לוח הסעות מוצע'!F54</f>
        <v>ויסברג - איתי/איילת צי</v>
      </c>
      <c r="B213" s="10">
        <f>'לוח הסעות מוצע'!A54</f>
        <v>46479</v>
      </c>
      <c r="C213" s="9">
        <f>COUNTIF($A$2:A213,A213)</f>
        <v>3</v>
      </c>
      <c r="D213" s="9" t="str">
        <f t="shared" si="3"/>
        <v>ויסברג - איתי/איילת צי|3</v>
      </c>
      <c r="E213" s="9" t="str">
        <f>'לוח הסעות מוצע'!B54</f>
        <v>בוקר</v>
      </c>
      <c r="F213" s="9" t="s">
        <v>634</v>
      </c>
    </row>
    <row r="214" spans="1:6">
      <c r="A214" s="9" t="str">
        <f>'לוח הסעות מוצע'!C55</f>
        <v>סקג'ו - איל/שירן</v>
      </c>
      <c r="B214" s="10">
        <f>'לוח הסעות מוצע'!A55</f>
        <v>46479</v>
      </c>
      <c r="C214" s="9">
        <f>COUNTIF($A$2:A214,A214)</f>
        <v>3</v>
      </c>
      <c r="D214" s="9" t="str">
        <f t="shared" si="3"/>
        <v>סקג'ו - איל/שירן|3</v>
      </c>
      <c r="E214" s="9" t="str">
        <f>'לוח הסעות מוצע'!B55</f>
        <v>צהריים</v>
      </c>
      <c r="F214" s="9" t="s">
        <v>633</v>
      </c>
    </row>
    <row r="215" spans="1:6">
      <c r="A215" s="9" t="str">
        <f>'לוח הסעות מוצע'!D55</f>
        <v>אטיאס - יקיר/גל</v>
      </c>
      <c r="B215" s="10">
        <f>'לוח הסעות מוצע'!A55</f>
        <v>46479</v>
      </c>
      <c r="C215" s="9">
        <f>COUNTIF($A$2:A215,A215)</f>
        <v>3</v>
      </c>
      <c r="D215" s="9" t="str">
        <f t="shared" si="3"/>
        <v>אטיאס - יקיר/גל|3</v>
      </c>
      <c r="E215" s="9" t="str">
        <f>'לוח הסעות מוצע'!B55</f>
        <v>צהריים</v>
      </c>
      <c r="F215" s="9" t="s">
        <v>633</v>
      </c>
    </row>
    <row r="216" spans="1:6">
      <c r="A216" s="9" t="str">
        <f>'לוח הסעות מוצע'!E55</f>
        <v>טיאר - צחי/אדוה גילה</v>
      </c>
      <c r="B216" s="10">
        <f>'לוח הסעות מוצע'!A55</f>
        <v>46479</v>
      </c>
      <c r="C216" s="9">
        <f>COUNTIF($A$2:A216,A216)</f>
        <v>3</v>
      </c>
      <c r="D216" s="9" t="str">
        <f t="shared" si="3"/>
        <v>טיאר - צחי/אדוה גילה|3</v>
      </c>
      <c r="E216" s="9" t="str">
        <f>'לוח הסעות מוצע'!B55</f>
        <v>צהריים</v>
      </c>
      <c r="F216" s="9" t="s">
        <v>633</v>
      </c>
    </row>
    <row r="217" spans="1:6">
      <c r="A217" s="9" t="str">
        <f>'לוח הסעות מוצע'!F55</f>
        <v>נאור - אחיקם/ליטל</v>
      </c>
      <c r="B217" s="10">
        <f>'לוח הסעות מוצע'!A55</f>
        <v>46479</v>
      </c>
      <c r="C217" s="9">
        <f>COUNTIF($A$2:A217,A217)</f>
        <v>3</v>
      </c>
      <c r="D217" s="9" t="str">
        <f t="shared" si="3"/>
        <v>נאור - אחיקם/ליטל|3</v>
      </c>
      <c r="E217" s="9" t="str">
        <f>'לוח הסעות מוצע'!B55</f>
        <v>צהריים</v>
      </c>
      <c r="F217" s="9" t="s">
        <v>634</v>
      </c>
    </row>
    <row r="218" spans="1:6">
      <c r="A218" s="9" t="str">
        <f>'לוח הסעות מוצע'!C56</f>
        <v>יונקמן - נעם/פלג</v>
      </c>
      <c r="B218" s="10">
        <f>'לוח הסעות מוצע'!A56</f>
        <v>46486</v>
      </c>
      <c r="C218" s="9">
        <f>COUNTIF($A$2:A218,A218)</f>
        <v>2</v>
      </c>
      <c r="D218" s="9" t="str">
        <f t="shared" si="3"/>
        <v>יונקמן - נעם/פלג|2</v>
      </c>
      <c r="E218" s="9" t="str">
        <f>'לוח הסעות מוצע'!B56</f>
        <v>בוקר</v>
      </c>
      <c r="F218" s="9" t="s">
        <v>633</v>
      </c>
    </row>
    <row r="219" spans="1:6">
      <c r="A219" s="9" t="str">
        <f>'לוח הסעות מוצע'!D56</f>
        <v>בקון מזור - דגן/הגר</v>
      </c>
      <c r="B219" s="10">
        <f>'לוח הסעות מוצע'!A56</f>
        <v>46486</v>
      </c>
      <c r="C219" s="9">
        <f>COUNTIF($A$2:A219,A219)</f>
        <v>2</v>
      </c>
      <c r="D219" s="9" t="str">
        <f t="shared" si="3"/>
        <v>בקון מזור - דגן/הגר|2</v>
      </c>
      <c r="E219" s="9" t="str">
        <f>'לוח הסעות מוצע'!B56</f>
        <v>בוקר</v>
      </c>
      <c r="F219" s="9" t="s">
        <v>633</v>
      </c>
    </row>
    <row r="220" spans="1:6">
      <c r="A220" s="9" t="str">
        <f>'לוח הסעות מוצע'!E56</f>
        <v>גולני - מעין/אורית</v>
      </c>
      <c r="B220" s="10">
        <f>'לוח הסעות מוצע'!A56</f>
        <v>46486</v>
      </c>
      <c r="C220" s="9">
        <f>COUNTIF($A$2:A220,A220)</f>
        <v>3</v>
      </c>
      <c r="D220" s="9" t="str">
        <f t="shared" si="3"/>
        <v>גולני - מעין/אורית|3</v>
      </c>
      <c r="E220" s="9" t="str">
        <f>'לוח הסעות מוצע'!B56</f>
        <v>בוקר</v>
      </c>
      <c r="F220" s="9" t="s">
        <v>633</v>
      </c>
    </row>
    <row r="221" spans="1:6">
      <c r="A221" s="9" t="str">
        <f>'לוח הסעות מוצע'!F56</f>
        <v>הררי - אורי/חן מלי</v>
      </c>
      <c r="B221" s="10">
        <f>'לוח הסעות מוצע'!A56</f>
        <v>46486</v>
      </c>
      <c r="C221" s="9">
        <f>COUNTIF($A$2:A221,A221)</f>
        <v>2</v>
      </c>
      <c r="D221" s="9" t="str">
        <f t="shared" si="3"/>
        <v>הררי - אורי/חן מלי|2</v>
      </c>
      <c r="E221" s="9" t="str">
        <f>'לוח הסעות מוצע'!B56</f>
        <v>בוקר</v>
      </c>
      <c r="F221" s="9" t="s">
        <v>634</v>
      </c>
    </row>
    <row r="222" spans="1:6">
      <c r="A222" s="9" t="str">
        <f>'לוח הסעות מוצע'!C57</f>
        <v>בנאי - אהוד/הדר</v>
      </c>
      <c r="B222" s="10">
        <f>'לוח הסעות מוצע'!A57</f>
        <v>46486</v>
      </c>
      <c r="C222" s="9">
        <f>COUNTIF($A$2:A222,A222)</f>
        <v>2</v>
      </c>
      <c r="D222" s="9" t="str">
        <f t="shared" si="3"/>
        <v>בנאי - אהוד/הדר|2</v>
      </c>
      <c r="E222" s="9" t="str">
        <f>'לוח הסעות מוצע'!B57</f>
        <v>צהריים</v>
      </c>
      <c r="F222" s="9" t="s">
        <v>633</v>
      </c>
    </row>
    <row r="223" spans="1:6">
      <c r="A223" s="9" t="str">
        <f>'לוח הסעות מוצע'!D57</f>
        <v>פרידמן - ברק/שניר</v>
      </c>
      <c r="B223" s="10">
        <f>'לוח הסעות מוצע'!A57</f>
        <v>46486</v>
      </c>
      <c r="C223" s="9">
        <f>COUNTIF($A$2:A223,A223)</f>
        <v>3</v>
      </c>
      <c r="D223" s="9" t="str">
        <f t="shared" si="3"/>
        <v>פרידמן - ברק/שניר|3</v>
      </c>
      <c r="E223" s="9" t="str">
        <f>'לוח הסעות מוצע'!B57</f>
        <v>צהריים</v>
      </c>
      <c r="F223" s="9" t="s">
        <v>633</v>
      </c>
    </row>
    <row r="224" spans="1:6">
      <c r="A224" s="9" t="str">
        <f>'לוח הסעות מוצע'!E57</f>
        <v>בס - אליעזר/שימרית עירית</v>
      </c>
      <c r="B224" s="10">
        <f>'לוח הסעות מוצע'!A57</f>
        <v>46486</v>
      </c>
      <c r="C224" s="9">
        <f>COUNTIF($A$2:A224,A224)</f>
        <v>3</v>
      </c>
      <c r="D224" s="9" t="str">
        <f t="shared" si="3"/>
        <v>בס - אליעזר/שימרית עירית|3</v>
      </c>
      <c r="E224" s="9" t="str">
        <f>'לוח הסעות מוצע'!B57</f>
        <v>צהריים</v>
      </c>
      <c r="F224" s="9" t="s">
        <v>633</v>
      </c>
    </row>
    <row r="225" spans="1:6">
      <c r="A225" s="9" t="str">
        <f>'לוח הסעות מוצע'!F57</f>
        <v>איאש - אביתר/מיכל</v>
      </c>
      <c r="B225" s="10">
        <f>'לוח הסעות מוצע'!A57</f>
        <v>46486</v>
      </c>
      <c r="C225" s="9">
        <f>COUNTIF($A$2:A225,A225)</f>
        <v>3</v>
      </c>
      <c r="D225" s="9" t="str">
        <f t="shared" si="3"/>
        <v>איאש - אביתר/מיכל|3</v>
      </c>
      <c r="E225" s="9" t="str">
        <f>'לוח הסעות מוצע'!B57</f>
        <v>צהריים</v>
      </c>
      <c r="F225" s="9" t="s">
        <v>634</v>
      </c>
    </row>
    <row r="226" spans="1:6">
      <c r="A226" s="9" t="str">
        <f>'לוח הסעות מוצע'!C58</f>
        <v>מולכו - נועם/אנטל</v>
      </c>
      <c r="B226" s="10">
        <f>'לוח הסעות מוצע'!A58</f>
        <v>46507</v>
      </c>
      <c r="C226" s="9">
        <f>COUNTIF($A$2:A226,A226)</f>
        <v>3</v>
      </c>
      <c r="D226" s="9" t="str">
        <f t="shared" si="3"/>
        <v>מולכו - נועם/אנטל|3</v>
      </c>
      <c r="E226" s="9" t="str">
        <f>'לוח הסעות מוצע'!B58</f>
        <v>בוקר</v>
      </c>
      <c r="F226" s="9" t="s">
        <v>633</v>
      </c>
    </row>
    <row r="227" spans="1:6">
      <c r="A227" s="9" t="str">
        <f>'לוח הסעות מוצע'!D58</f>
        <v>חזן - גיא/נועה סול</v>
      </c>
      <c r="B227" s="10">
        <f>'לוח הסעות מוצע'!A58</f>
        <v>46507</v>
      </c>
      <c r="C227" s="9">
        <f>COUNTIF($A$2:A227,A227)</f>
        <v>3</v>
      </c>
      <c r="D227" s="9" t="str">
        <f t="shared" si="3"/>
        <v>חזן - גיא/נועה סול|3</v>
      </c>
      <c r="E227" s="9" t="str">
        <f>'לוח הסעות מוצע'!B58</f>
        <v>בוקר</v>
      </c>
      <c r="F227" s="9" t="s">
        <v>633</v>
      </c>
    </row>
    <row r="228" spans="1:6">
      <c r="A228" s="9" t="str">
        <f>'לוח הסעות מוצע'!E58</f>
        <v>אפרתי - נעם/המיה</v>
      </c>
      <c r="B228" s="10">
        <f>'לוח הסעות מוצע'!A58</f>
        <v>46507</v>
      </c>
      <c r="C228" s="9">
        <f>COUNTIF($A$2:A228,A228)</f>
        <v>3</v>
      </c>
      <c r="D228" s="9" t="str">
        <f t="shared" si="3"/>
        <v>אפרתי - נעם/המיה|3</v>
      </c>
      <c r="E228" s="9" t="str">
        <f>'לוח הסעות מוצע'!B58</f>
        <v>בוקר</v>
      </c>
      <c r="F228" s="9" t="s">
        <v>633</v>
      </c>
    </row>
    <row r="229" spans="1:6">
      <c r="A229" s="9" t="str">
        <f>'לוח הסעות מוצע'!F58</f>
        <v>כהן - עפר/יעל</v>
      </c>
      <c r="B229" s="10">
        <f>'לוח הסעות מוצע'!A58</f>
        <v>46507</v>
      </c>
      <c r="C229" s="9">
        <f>COUNTIF($A$2:A229,A229)</f>
        <v>3</v>
      </c>
      <c r="D229" s="9" t="str">
        <f t="shared" si="3"/>
        <v>כהן - עפר/יעל|3</v>
      </c>
      <c r="E229" s="9" t="str">
        <f>'לוח הסעות מוצע'!B58</f>
        <v>בוקר</v>
      </c>
      <c r="F229" s="9" t="s">
        <v>634</v>
      </c>
    </row>
    <row r="230" spans="1:6">
      <c r="A230" s="9" t="str">
        <f>'לוח הסעות מוצע'!C59</f>
        <v>פונגסידה עלמא - סאווירט/שי</v>
      </c>
      <c r="B230" s="10">
        <f>'לוח הסעות מוצע'!A59</f>
        <v>46507</v>
      </c>
      <c r="C230" s="9">
        <f>COUNTIF($A$2:A230,A230)</f>
        <v>3</v>
      </c>
      <c r="D230" s="9" t="str">
        <f t="shared" si="3"/>
        <v>פונגסידה עלמא - סאווירט/שי|3</v>
      </c>
      <c r="E230" s="9" t="str">
        <f>'לוח הסעות מוצע'!B59</f>
        <v>צהריים</v>
      </c>
      <c r="F230" s="9" t="s">
        <v>633</v>
      </c>
    </row>
    <row r="231" spans="1:6">
      <c r="A231" s="9" t="str">
        <f>'לוח הסעות מוצע'!D59</f>
        <v>חורין - גלעד/ספיר</v>
      </c>
      <c r="B231" s="10">
        <f>'לוח הסעות מוצע'!A59</f>
        <v>46507</v>
      </c>
      <c r="C231" s="9">
        <f>COUNTIF($A$2:A231,A231)</f>
        <v>3</v>
      </c>
      <c r="D231" s="9" t="str">
        <f t="shared" si="3"/>
        <v>חורין - גלעד/ספיר|3</v>
      </c>
      <c r="E231" s="9" t="str">
        <f>'לוח הסעות מוצע'!B59</f>
        <v>צהריים</v>
      </c>
      <c r="F231" s="9" t="s">
        <v>633</v>
      </c>
    </row>
    <row r="232" spans="1:6">
      <c r="A232" s="9" t="str">
        <f>'לוח הסעות מוצע'!E59</f>
        <v>שואף - טל/איילת</v>
      </c>
      <c r="B232" s="10">
        <f>'לוח הסעות מוצע'!A59</f>
        <v>46507</v>
      </c>
      <c r="C232" s="9">
        <f>COUNTIF($A$2:A232,A232)</f>
        <v>3</v>
      </c>
      <c r="D232" s="9" t="str">
        <f t="shared" si="3"/>
        <v>שואף - טל/איילת|3</v>
      </c>
      <c r="E232" s="9" t="str">
        <f>'לוח הסעות מוצע'!B59</f>
        <v>צהריים</v>
      </c>
      <c r="F232" s="9" t="s">
        <v>633</v>
      </c>
    </row>
    <row r="233" spans="1:6">
      <c r="A233" s="9" t="str">
        <f>'לוח הסעות מוצע'!F59</f>
        <v>כהן - איתיאל/טטיאנה</v>
      </c>
      <c r="B233" s="10">
        <f>'לוח הסעות מוצע'!A59</f>
        <v>46507</v>
      </c>
      <c r="C233" s="9">
        <f>COUNTIF($A$2:A233,A233)</f>
        <v>2</v>
      </c>
      <c r="D233" s="9" t="str">
        <f t="shared" si="3"/>
        <v>כהן - איתיאל/טטיאנה|2</v>
      </c>
      <c r="E233" s="9" t="str">
        <f>'לוח הסעות מוצע'!B59</f>
        <v>צהריים</v>
      </c>
      <c r="F233" s="9" t="s">
        <v>634</v>
      </c>
    </row>
    <row r="234" spans="1:6">
      <c r="A234" s="9" t="str">
        <f>'לוח הסעות מוצע'!C60</f>
        <v>שטוטמן - יניר/ליאורה ר</v>
      </c>
      <c r="B234" s="10">
        <f>'לוח הסעות מוצע'!A60</f>
        <v>46514</v>
      </c>
      <c r="C234" s="9">
        <f>COUNTIF($A$2:A234,A234)</f>
        <v>3</v>
      </c>
      <c r="D234" s="9" t="str">
        <f t="shared" si="3"/>
        <v>שטוטמן - יניר/ליאורה ר|3</v>
      </c>
      <c r="E234" s="9" t="str">
        <f>'לוח הסעות מוצע'!B60</f>
        <v>בוקר</v>
      </c>
      <c r="F234" s="9" t="s">
        <v>633</v>
      </c>
    </row>
    <row r="235" spans="1:6">
      <c r="A235" s="9" t="str">
        <f>'לוח הסעות מוצע'!D60</f>
        <v>טל - דרור/אלינור</v>
      </c>
      <c r="B235" s="10">
        <f>'לוח הסעות מוצע'!A60</f>
        <v>46514</v>
      </c>
      <c r="C235" s="9">
        <f>COUNTIF($A$2:A235,A235)</f>
        <v>3</v>
      </c>
      <c r="D235" s="9" t="str">
        <f t="shared" si="3"/>
        <v>טל - דרור/אלינור|3</v>
      </c>
      <c r="E235" s="9" t="str">
        <f>'לוח הסעות מוצע'!B60</f>
        <v>בוקר</v>
      </c>
      <c r="F235" s="9" t="s">
        <v>633</v>
      </c>
    </row>
    <row r="236" spans="1:6">
      <c r="A236" s="9" t="str">
        <f>'לוח הסעות מוצע'!E60</f>
        <v>שראייר - יואב/שירן טובה</v>
      </c>
      <c r="B236" s="10">
        <f>'לוח הסעות מוצע'!A60</f>
        <v>46514</v>
      </c>
      <c r="C236" s="9">
        <f>COUNTIF($A$2:A236,A236)</f>
        <v>3</v>
      </c>
      <c r="D236" s="9" t="str">
        <f t="shared" si="3"/>
        <v>שראייר - יואב/שירן טובה|3</v>
      </c>
      <c r="E236" s="9" t="str">
        <f>'לוח הסעות מוצע'!B60</f>
        <v>בוקר</v>
      </c>
      <c r="F236" s="9" t="s">
        <v>633</v>
      </c>
    </row>
    <row r="237" spans="1:6">
      <c r="A237" s="9" t="str">
        <f>'לוח הסעות מוצע'!F60</f>
        <v>בשן - חנן/שרון</v>
      </c>
      <c r="B237" s="10">
        <f>'לוח הסעות מוצע'!A60</f>
        <v>46514</v>
      </c>
      <c r="C237" s="9">
        <f>COUNTIF($A$2:A237,A237)</f>
        <v>3</v>
      </c>
      <c r="D237" s="9" t="str">
        <f t="shared" si="3"/>
        <v>בשן - חנן/שרון|3</v>
      </c>
      <c r="E237" s="9" t="str">
        <f>'לוח הסעות מוצע'!B60</f>
        <v>בוקר</v>
      </c>
      <c r="F237" s="9" t="s">
        <v>634</v>
      </c>
    </row>
    <row r="238" spans="1:6">
      <c r="A238" s="9" t="str">
        <f>'לוח הסעות מוצע'!C61</f>
        <v>פרץ - דניאל/נואי</v>
      </c>
      <c r="B238" s="10">
        <f>'לוח הסעות מוצע'!A61</f>
        <v>46514</v>
      </c>
      <c r="C238" s="9">
        <f>COUNTIF($A$2:A238,A238)</f>
        <v>3</v>
      </c>
      <c r="D238" s="9" t="str">
        <f t="shared" si="3"/>
        <v>פרץ - דניאל/נואי|3</v>
      </c>
      <c r="E238" s="9" t="str">
        <f>'לוח הסעות מוצע'!B61</f>
        <v>צהריים</v>
      </c>
      <c r="F238" s="9" t="s">
        <v>633</v>
      </c>
    </row>
    <row r="239" spans="1:6">
      <c r="A239" s="9" t="str">
        <f>'לוח הסעות מוצע'!D61</f>
        <v>הדס - אלדד/אנה</v>
      </c>
      <c r="B239" s="10">
        <f>'לוח הסעות מוצע'!A61</f>
        <v>46514</v>
      </c>
      <c r="C239" s="9">
        <f>COUNTIF($A$2:A239,A239)</f>
        <v>3</v>
      </c>
      <c r="D239" s="9" t="str">
        <f t="shared" si="3"/>
        <v>הדס - אלדד/אנה|3</v>
      </c>
      <c r="E239" s="9" t="str">
        <f>'לוח הסעות מוצע'!B61</f>
        <v>צהריים</v>
      </c>
      <c r="F239" s="9" t="s">
        <v>633</v>
      </c>
    </row>
    <row r="240" spans="1:6">
      <c r="A240" s="9" t="str">
        <f>'לוח הסעות מוצע'!E61</f>
        <v>חדד - משה/רחל</v>
      </c>
      <c r="B240" s="10">
        <f>'לוח הסעות מוצע'!A61</f>
        <v>46514</v>
      </c>
      <c r="C240" s="9">
        <f>COUNTIF($A$2:A240,A240)</f>
        <v>3</v>
      </c>
      <c r="D240" s="9" t="str">
        <f t="shared" si="3"/>
        <v>חדד - משה/רחל|3</v>
      </c>
      <c r="E240" s="9" t="str">
        <f>'לוח הסעות מוצע'!B61</f>
        <v>צהריים</v>
      </c>
      <c r="F240" s="9" t="s">
        <v>633</v>
      </c>
    </row>
    <row r="241" spans="1:6">
      <c r="A241" s="9" t="str">
        <f>'לוח הסעות מוצע'!F61</f>
        <v>פוגל יצחקי - שלומי/מיכל</v>
      </c>
      <c r="B241" s="10">
        <f>'לוח הסעות מוצע'!A61</f>
        <v>46514</v>
      </c>
      <c r="C241" s="9">
        <f>COUNTIF($A$2:A241,A241)</f>
        <v>3</v>
      </c>
      <c r="D241" s="9" t="str">
        <f t="shared" si="3"/>
        <v>פוגל יצחקי - שלומי/מיכל|3</v>
      </c>
      <c r="E241" s="9" t="str">
        <f>'לוח הסעות מוצע'!B61</f>
        <v>צהריים</v>
      </c>
      <c r="F241" s="9" t="s">
        <v>634</v>
      </c>
    </row>
    <row r="242" spans="1:6">
      <c r="A242" s="9" t="str">
        <f>'לוח הסעות מוצע'!C62</f>
        <v>להב - ערן (דוד/יערה</v>
      </c>
      <c r="B242" s="10">
        <f>'לוח הסעות מוצע'!A62</f>
        <v>46521</v>
      </c>
      <c r="C242" s="9">
        <f>COUNTIF($A$2:A242,A242)</f>
        <v>3</v>
      </c>
      <c r="D242" s="9" t="str">
        <f t="shared" si="3"/>
        <v>להב - ערן (דוד/יערה|3</v>
      </c>
      <c r="E242" s="9" t="str">
        <f>'לוח הסעות מוצע'!B62</f>
        <v>בוקר</v>
      </c>
      <c r="F242" s="9" t="s">
        <v>633</v>
      </c>
    </row>
    <row r="243" spans="1:6">
      <c r="A243" s="9" t="str">
        <f>'לוח הסעות מוצע'!D62</f>
        <v>פרידמן אהרון - עודד/מיכל</v>
      </c>
      <c r="B243" s="10">
        <f>'לוח הסעות מוצע'!A62</f>
        <v>46521</v>
      </c>
      <c r="C243" s="9">
        <f>COUNTIF($A$2:A243,A243)</f>
        <v>3</v>
      </c>
      <c r="D243" s="9" t="str">
        <f t="shared" si="3"/>
        <v>פרידמן אהרון - עודד/מיכל|3</v>
      </c>
      <c r="E243" s="9" t="str">
        <f>'לוח הסעות מוצע'!B62</f>
        <v>בוקר</v>
      </c>
      <c r="F243" s="9" t="s">
        <v>633</v>
      </c>
    </row>
    <row r="244" spans="1:6">
      <c r="A244" s="9" t="str">
        <f>'לוח הסעות מוצע'!E62</f>
        <v>גור - ינון/מיטל</v>
      </c>
      <c r="B244" s="10">
        <f>'לוח הסעות מוצע'!A62</f>
        <v>46521</v>
      </c>
      <c r="C244" s="9">
        <f>COUNTIF($A$2:A244,A244)</f>
        <v>3</v>
      </c>
      <c r="D244" s="9" t="str">
        <f t="shared" si="3"/>
        <v>גור - ינון/מיטל|3</v>
      </c>
      <c r="E244" s="9" t="str">
        <f>'לוח הסעות מוצע'!B62</f>
        <v>בוקר</v>
      </c>
      <c r="F244" s="9" t="s">
        <v>633</v>
      </c>
    </row>
    <row r="245" spans="1:6">
      <c r="A245" s="9" t="str">
        <f>'לוח הסעות מוצע'!F62</f>
        <v>יצחקי - אהוד/מורן</v>
      </c>
      <c r="B245" s="10">
        <f>'לוח הסעות מוצע'!A62</f>
        <v>46521</v>
      </c>
      <c r="C245" s="9">
        <f>COUNTIF($A$2:A245,A245)</f>
        <v>3</v>
      </c>
      <c r="D245" s="9" t="str">
        <f t="shared" si="3"/>
        <v>יצחקי - אהוד/מורן|3</v>
      </c>
      <c r="E245" s="9" t="str">
        <f>'לוח הסעות מוצע'!B62</f>
        <v>בוקר</v>
      </c>
      <c r="F245" s="9" t="s">
        <v>634</v>
      </c>
    </row>
    <row r="246" spans="1:6">
      <c r="A246" s="9" t="str">
        <f>'לוח הסעות מוצע'!C63</f>
        <v>גולדפרב - שימי/אורטל</v>
      </c>
      <c r="B246" s="10">
        <f>'לוח הסעות מוצע'!A63</f>
        <v>46521</v>
      </c>
      <c r="C246" s="9">
        <f>COUNTIF($A$2:A246,A246)</f>
        <v>3</v>
      </c>
      <c r="D246" s="9" t="str">
        <f t="shared" si="3"/>
        <v>גולדפרב - שימי/אורטל|3</v>
      </c>
      <c r="E246" s="9" t="str">
        <f>'לוח הסעות מוצע'!B63</f>
        <v>צהריים</v>
      </c>
      <c r="F246" s="9" t="s">
        <v>633</v>
      </c>
    </row>
    <row r="247" spans="1:6">
      <c r="A247" s="9" t="str">
        <f>'לוח הסעות מוצע'!D63</f>
        <v>שדמי חיון - ליאור/רוני</v>
      </c>
      <c r="B247" s="10">
        <f>'לוח הסעות מוצע'!A63</f>
        <v>46521</v>
      </c>
      <c r="C247" s="9">
        <f>COUNTIF($A$2:A247,A247)</f>
        <v>3</v>
      </c>
      <c r="D247" s="9" t="str">
        <f t="shared" si="3"/>
        <v>שדמי חיון - ליאור/רוני|3</v>
      </c>
      <c r="E247" s="9" t="str">
        <f>'לוח הסעות מוצע'!B63</f>
        <v>צהריים</v>
      </c>
      <c r="F247" s="9" t="s">
        <v>633</v>
      </c>
    </row>
    <row r="248" spans="1:6">
      <c r="A248" s="9" t="str">
        <f>'לוח הסעות מוצע'!E63</f>
        <v>מאיר - נתן/חן</v>
      </c>
      <c r="B248" s="10">
        <f>'לוח הסעות מוצע'!A63</f>
        <v>46521</v>
      </c>
      <c r="C248" s="9">
        <f>COUNTIF($A$2:A248,A248)</f>
        <v>3</v>
      </c>
      <c r="D248" s="9" t="str">
        <f t="shared" si="3"/>
        <v>מאיר - נתן/חן|3</v>
      </c>
      <c r="E248" s="9" t="str">
        <f>'לוח הסעות מוצע'!B63</f>
        <v>צהריים</v>
      </c>
      <c r="F248" s="9" t="s">
        <v>633</v>
      </c>
    </row>
    <row r="249" spans="1:6">
      <c r="A249" s="9" t="str">
        <f>'לוח הסעות מוצע'!F63</f>
        <v>בירקנפלד - גל/לילי</v>
      </c>
      <c r="B249" s="10">
        <f>'לוח הסעות מוצע'!A63</f>
        <v>46521</v>
      </c>
      <c r="C249" s="9">
        <f>COUNTIF($A$2:A249,A249)</f>
        <v>3</v>
      </c>
      <c r="D249" s="9" t="str">
        <f t="shared" si="3"/>
        <v>בירקנפלד - גל/לילי|3</v>
      </c>
      <c r="E249" s="9" t="str">
        <f>'לוח הסעות מוצע'!B63</f>
        <v>צהריים</v>
      </c>
      <c r="F249" s="9" t="s">
        <v>634</v>
      </c>
    </row>
    <row r="250" spans="1:6">
      <c r="A250" s="9" t="str">
        <f>'לוח הסעות מוצע'!C64</f>
        <v>בנימין - יונתן לואיס/הדס</v>
      </c>
      <c r="B250" s="10">
        <f>'לוח הסעות מוצע'!A64</f>
        <v>46528</v>
      </c>
      <c r="C250" s="9">
        <f>COUNTIF($A$2:A250,A250)</f>
        <v>3</v>
      </c>
      <c r="D250" s="9" t="str">
        <f t="shared" si="3"/>
        <v>בנימין - יונתן לואיס/הדס|3</v>
      </c>
      <c r="E250" s="9" t="str">
        <f>'לוח הסעות מוצע'!B64</f>
        <v>בוקר</v>
      </c>
      <c r="F250" s="9" t="s">
        <v>633</v>
      </c>
    </row>
    <row r="251" spans="1:6">
      <c r="A251" s="9" t="str">
        <f>'לוח הסעות מוצע'!D64</f>
        <v>פארן - נוה/אפרת</v>
      </c>
      <c r="B251" s="10">
        <f>'לוח הסעות מוצע'!A64</f>
        <v>46528</v>
      </c>
      <c r="C251" s="9">
        <f>COUNTIF($A$2:A251,A251)</f>
        <v>3</v>
      </c>
      <c r="D251" s="9" t="str">
        <f t="shared" si="3"/>
        <v>פארן - נוה/אפרת|3</v>
      </c>
      <c r="E251" s="9" t="str">
        <f>'לוח הסעות מוצע'!B64</f>
        <v>בוקר</v>
      </c>
      <c r="F251" s="9" t="s">
        <v>633</v>
      </c>
    </row>
    <row r="252" spans="1:6">
      <c r="A252" s="9" t="str">
        <f>'לוח הסעות מוצע'!E64</f>
        <v>ברטוב - שי/אורלי דב</v>
      </c>
      <c r="B252" s="10">
        <f>'לוח הסעות מוצע'!A64</f>
        <v>46528</v>
      </c>
      <c r="C252" s="9">
        <f>COUNTIF($A$2:A252,A252)</f>
        <v>3</v>
      </c>
      <c r="D252" s="9" t="str">
        <f t="shared" si="3"/>
        <v>ברטוב - שי/אורלי דב|3</v>
      </c>
      <c r="E252" s="9" t="str">
        <f>'לוח הסעות מוצע'!B64</f>
        <v>בוקר</v>
      </c>
      <c r="F252" s="9" t="s">
        <v>633</v>
      </c>
    </row>
    <row r="253" spans="1:6">
      <c r="A253" s="9" t="str">
        <f>'לוח הסעות מוצע'!F64</f>
        <v>ז'נסקר פז - אדוארד/הילה</v>
      </c>
      <c r="B253" s="10">
        <f>'לוח הסעות מוצע'!A64</f>
        <v>46528</v>
      </c>
      <c r="C253" s="9">
        <f>COUNTIF($A$2:A253,A253)</f>
        <v>3</v>
      </c>
      <c r="D253" s="9" t="str">
        <f t="shared" si="3"/>
        <v>ז'נסקר פז - אדוארד/הילה|3</v>
      </c>
      <c r="E253" s="9" t="str">
        <f>'לוח הסעות מוצע'!B64</f>
        <v>בוקר</v>
      </c>
      <c r="F253" s="9" t="s">
        <v>634</v>
      </c>
    </row>
    <row r="254" spans="1:6">
      <c r="A254" s="9" t="str">
        <f>'לוח הסעות מוצע'!C65</f>
        <v>בקון - דקל/מור</v>
      </c>
      <c r="B254" s="10">
        <f>'לוח הסעות מוצע'!A65</f>
        <v>46528</v>
      </c>
      <c r="C254" s="9">
        <f>COUNTIF($A$2:A254,A254)</f>
        <v>3</v>
      </c>
      <c r="D254" s="9" t="str">
        <f t="shared" si="3"/>
        <v>בקון - דקל/מור|3</v>
      </c>
      <c r="E254" s="9" t="str">
        <f>'לוח הסעות מוצע'!B65</f>
        <v>צהריים</v>
      </c>
      <c r="F254" s="9" t="s">
        <v>633</v>
      </c>
    </row>
    <row r="255" spans="1:6">
      <c r="A255" s="9" t="str">
        <f>'לוח הסעות מוצע'!D65</f>
        <v>אפללו - יגאל/אפרת</v>
      </c>
      <c r="B255" s="10">
        <f>'לוח הסעות מוצע'!A65</f>
        <v>46528</v>
      </c>
      <c r="C255" s="9">
        <f>COUNTIF($A$2:A255,A255)</f>
        <v>3</v>
      </c>
      <c r="D255" s="9" t="str">
        <f t="shared" si="3"/>
        <v>אפללו - יגאל/אפרת|3</v>
      </c>
      <c r="E255" s="9" t="str">
        <f>'לוח הסעות מוצע'!B65</f>
        <v>צהריים</v>
      </c>
      <c r="F255" s="9" t="s">
        <v>633</v>
      </c>
    </row>
    <row r="256" spans="1:6">
      <c r="A256" s="9" t="str">
        <f>'לוח הסעות מוצע'!E65</f>
        <v>פרי - שלומי/איסי לי</v>
      </c>
      <c r="B256" s="10">
        <f>'לוח הסעות מוצע'!A65</f>
        <v>46528</v>
      </c>
      <c r="C256" s="9">
        <f>COUNTIF($A$2:A256,A256)</f>
        <v>3</v>
      </c>
      <c r="D256" s="9" t="str">
        <f t="shared" si="3"/>
        <v>פרי - שלומי/איסי לי|3</v>
      </c>
      <c r="E256" s="9" t="str">
        <f>'לוח הסעות מוצע'!B65</f>
        <v>צהריים</v>
      </c>
      <c r="F256" s="9" t="s">
        <v>633</v>
      </c>
    </row>
    <row r="257" spans="1:6">
      <c r="A257" s="9" t="str">
        <f>'לוח הסעות מוצע'!F65</f>
        <v>דוידי - יגאל/הילה</v>
      </c>
      <c r="B257" s="10">
        <f>'לוח הסעות מוצע'!A65</f>
        <v>46528</v>
      </c>
      <c r="C257" s="9">
        <f>COUNTIF($A$2:A257,A257)</f>
        <v>3</v>
      </c>
      <c r="D257" s="9" t="str">
        <f t="shared" si="3"/>
        <v>דוידי - יגאל/הילה|3</v>
      </c>
      <c r="E257" s="9" t="str">
        <f>'לוח הסעות מוצע'!B65</f>
        <v>צהריים</v>
      </c>
      <c r="F257" s="9" t="s">
        <v>634</v>
      </c>
    </row>
    <row r="258" spans="1:6">
      <c r="A258" s="9" t="str">
        <f>'לוח הסעות מוצע'!C66</f>
        <v>מקלר - רן/עדי</v>
      </c>
      <c r="B258" s="10">
        <f>'לוח הסעות מוצע'!A66</f>
        <v>46535</v>
      </c>
      <c r="C258" s="9">
        <f>COUNTIF($A$2:A258,A258)</f>
        <v>3</v>
      </c>
      <c r="D258" s="9" t="str">
        <f t="shared" ref="D258:D289" si="4">A258&amp;"|"&amp;C258</f>
        <v>מקלר - רן/עדי|3</v>
      </c>
      <c r="E258" s="9" t="str">
        <f>'לוח הסעות מוצע'!B66</f>
        <v>בוקר</v>
      </c>
      <c r="F258" s="9" t="s">
        <v>633</v>
      </c>
    </row>
    <row r="259" spans="1:6">
      <c r="A259" s="9" t="str">
        <f>'לוח הסעות מוצע'!D66</f>
        <v>דוידסון - רונן אנד/עמית</v>
      </c>
      <c r="B259" s="10">
        <f>'לוח הסעות מוצע'!A66</f>
        <v>46535</v>
      </c>
      <c r="C259" s="9">
        <f>COUNTIF($A$2:A259,A259)</f>
        <v>3</v>
      </c>
      <c r="D259" s="9" t="str">
        <f t="shared" si="4"/>
        <v>דוידסון - רונן אנד/עמית|3</v>
      </c>
      <c r="E259" s="9" t="str">
        <f>'לוח הסעות מוצע'!B66</f>
        <v>בוקר</v>
      </c>
      <c r="F259" s="9" t="s">
        <v>633</v>
      </c>
    </row>
    <row r="260" spans="1:6">
      <c r="A260" s="9" t="str">
        <f>'לוח הסעות מוצע'!E66</f>
        <v>נחליאלי - גיל-עד י/עדי</v>
      </c>
      <c r="B260" s="10">
        <f>'לוח הסעות מוצע'!A66</f>
        <v>46535</v>
      </c>
      <c r="C260" s="9">
        <f>COUNTIF($A$2:A260,A260)</f>
        <v>3</v>
      </c>
      <c r="D260" s="9" t="str">
        <f t="shared" si="4"/>
        <v>נחליאלי - גיל-עד י/עדי|3</v>
      </c>
      <c r="E260" s="9" t="str">
        <f>'לוח הסעות מוצע'!B66</f>
        <v>בוקר</v>
      </c>
      <c r="F260" s="9" t="s">
        <v>633</v>
      </c>
    </row>
    <row r="261" spans="1:6">
      <c r="A261" s="9" t="str">
        <f>'לוח הסעות מוצע'!F66</f>
        <v>גונן - לירון/אולגה</v>
      </c>
      <c r="B261" s="10">
        <f>'לוח הסעות מוצע'!A66</f>
        <v>46535</v>
      </c>
      <c r="C261" s="9">
        <f>COUNTIF($A$2:A261,A261)</f>
        <v>3</v>
      </c>
      <c r="D261" s="9" t="str">
        <f t="shared" si="4"/>
        <v>גונן - לירון/אולגה|3</v>
      </c>
      <c r="E261" s="9" t="str">
        <f>'לוח הסעות מוצע'!B66</f>
        <v>בוקר</v>
      </c>
      <c r="F261" s="9" t="s">
        <v>634</v>
      </c>
    </row>
    <row r="262" spans="1:6">
      <c r="A262" s="9" t="str">
        <f>'לוח הסעות מוצע'!C67</f>
        <v>אליהו - הדר/לימור</v>
      </c>
      <c r="B262" s="10">
        <f>'לוח הסעות מוצע'!A67</f>
        <v>46535</v>
      </c>
      <c r="C262" s="9">
        <f>COUNTIF($A$2:A262,A262)</f>
        <v>3</v>
      </c>
      <c r="D262" s="9" t="str">
        <f t="shared" si="4"/>
        <v>אליהו - הדר/לימור|3</v>
      </c>
      <c r="E262" s="9" t="str">
        <f>'לוח הסעות מוצע'!B67</f>
        <v>צהריים</v>
      </c>
      <c r="F262" s="9" t="s">
        <v>633</v>
      </c>
    </row>
    <row r="263" spans="1:6">
      <c r="A263" s="9" t="str">
        <f>'לוח הסעות מוצע'!D67</f>
        <v>שגיא - יפתח מאי/טל</v>
      </c>
      <c r="B263" s="10">
        <f>'לוח הסעות מוצע'!A67</f>
        <v>46535</v>
      </c>
      <c r="C263" s="9">
        <f>COUNTIF($A$2:A263,A263)</f>
        <v>3</v>
      </c>
      <c r="D263" s="9" t="str">
        <f t="shared" si="4"/>
        <v>שגיא - יפתח מאי/טל|3</v>
      </c>
      <c r="E263" s="9" t="str">
        <f>'לוח הסעות מוצע'!B67</f>
        <v>צהריים</v>
      </c>
      <c r="F263" s="9" t="s">
        <v>633</v>
      </c>
    </row>
    <row r="264" spans="1:6">
      <c r="A264" s="9" t="str">
        <f>'לוח הסעות מוצע'!E67</f>
        <v>זר - נפתלי אליעזר/עדן</v>
      </c>
      <c r="B264" s="10">
        <f>'לוח הסעות מוצע'!A67</f>
        <v>46535</v>
      </c>
      <c r="C264" s="9">
        <f>COUNTIF($A$2:A264,A264)</f>
        <v>3</v>
      </c>
      <c r="D264" s="9" t="str">
        <f t="shared" si="4"/>
        <v>זר - נפתלי אליעזר/עדן|3</v>
      </c>
      <c r="E264" s="9" t="str">
        <f>'לוח הסעות מוצע'!B67</f>
        <v>צהריים</v>
      </c>
      <c r="F264" s="9" t="s">
        <v>633</v>
      </c>
    </row>
    <row r="265" spans="1:6">
      <c r="A265" s="9" t="str">
        <f>'לוח הסעות מוצע'!F67</f>
        <v>בקון מזור - דגן/הגר</v>
      </c>
      <c r="B265" s="10">
        <f>'לוח הסעות מוצע'!A67</f>
        <v>46535</v>
      </c>
      <c r="C265" s="9">
        <f>COUNTIF($A$2:A265,A265)</f>
        <v>3</v>
      </c>
      <c r="D265" s="9" t="str">
        <f t="shared" si="4"/>
        <v>בקון מזור - דגן/הגר|3</v>
      </c>
      <c r="E265" s="9" t="str">
        <f>'לוח הסעות מוצע'!B67</f>
        <v>צהריים</v>
      </c>
      <c r="F265" s="9" t="s">
        <v>634</v>
      </c>
    </row>
    <row r="266" spans="1:6">
      <c r="A266" s="9" t="str">
        <f>'לוח הסעות מוצע'!C68</f>
        <v>אמיתי - ניצן/סיון</v>
      </c>
      <c r="B266" s="10">
        <f>'לוח הסעות מוצע'!A68</f>
        <v>46542</v>
      </c>
      <c r="C266" s="9">
        <f>COUNTIF($A$2:A266,A266)</f>
        <v>3</v>
      </c>
      <c r="D266" s="9" t="str">
        <f t="shared" si="4"/>
        <v>אמיתי - ניצן/סיון|3</v>
      </c>
      <c r="E266" s="9" t="str">
        <f>'לוח הסעות מוצע'!B68</f>
        <v>בוקר</v>
      </c>
      <c r="F266" s="9" t="s">
        <v>633</v>
      </c>
    </row>
    <row r="267" spans="1:6">
      <c r="A267" s="9" t="str">
        <f>'לוח הסעות מוצע'!D68</f>
        <v>ליבוביץ - אלון/דקלה צבי</v>
      </c>
      <c r="B267" s="10">
        <f>'לוח הסעות מוצע'!A68</f>
        <v>46542</v>
      </c>
      <c r="C267" s="9">
        <f>COUNTIF($A$2:A267,A267)</f>
        <v>3</v>
      </c>
      <c r="D267" s="9" t="str">
        <f t="shared" si="4"/>
        <v>ליבוביץ - אלון/דקלה צבי|3</v>
      </c>
      <c r="E267" s="9" t="str">
        <f>'לוח הסעות מוצע'!B68</f>
        <v>בוקר</v>
      </c>
      <c r="F267" s="9" t="s">
        <v>633</v>
      </c>
    </row>
    <row r="268" spans="1:6">
      <c r="A268" s="9" t="str">
        <f>'לוח הסעות מוצע'!E68</f>
        <v>כהן - אמציה/רביד</v>
      </c>
      <c r="B268" s="10">
        <f>'לוח הסעות מוצע'!A68</f>
        <v>46542</v>
      </c>
      <c r="C268" s="9">
        <f>COUNTIF($A$2:A268,A268)</f>
        <v>3</v>
      </c>
      <c r="D268" s="9" t="str">
        <f t="shared" si="4"/>
        <v>כהן - אמציה/רביד|3</v>
      </c>
      <c r="E268" s="9" t="str">
        <f>'לוח הסעות מוצע'!B68</f>
        <v>בוקר</v>
      </c>
      <c r="F268" s="9" t="s">
        <v>633</v>
      </c>
    </row>
    <row r="269" spans="1:6">
      <c r="A269" s="9" t="str">
        <f>'לוח הסעות מוצע'!F68</f>
        <v>טליאס - תמיר/צליל</v>
      </c>
      <c r="B269" s="10">
        <f>'לוח הסעות מוצע'!A68</f>
        <v>46542</v>
      </c>
      <c r="C269" s="9">
        <f>COUNTIF($A$2:A269,A269)</f>
        <v>3</v>
      </c>
      <c r="D269" s="9" t="str">
        <f t="shared" si="4"/>
        <v>טליאס - תמיר/צליל|3</v>
      </c>
      <c r="E269" s="9" t="str">
        <f>'לוח הסעות מוצע'!B68</f>
        <v>בוקר</v>
      </c>
      <c r="F269" s="9" t="s">
        <v>634</v>
      </c>
    </row>
    <row r="270" spans="1:6">
      <c r="A270" s="9" t="str">
        <f>'לוח הסעות מוצע'!C69</f>
        <v>גליצנשטיין - רונן/הדס</v>
      </c>
      <c r="B270" s="10">
        <f>'לוח הסעות מוצע'!A69</f>
        <v>46542</v>
      </c>
      <c r="C270" s="9">
        <f>COUNTIF($A$2:A270,A270)</f>
        <v>3</v>
      </c>
      <c r="D270" s="9" t="str">
        <f t="shared" si="4"/>
        <v>גליצנשטיין - רונן/הדס|3</v>
      </c>
      <c r="E270" s="9" t="str">
        <f>'לוח הסעות מוצע'!B69</f>
        <v>צהריים</v>
      </c>
      <c r="F270" s="9" t="s">
        <v>633</v>
      </c>
    </row>
    <row r="271" spans="1:6">
      <c r="A271" s="9" t="str">
        <f>'לוח הסעות מוצע'!D69</f>
        <v>וייס - שחר/מיטל</v>
      </c>
      <c r="B271" s="10">
        <f>'לוח הסעות מוצע'!A69</f>
        <v>46542</v>
      </c>
      <c r="C271" s="9">
        <f>COUNTIF($A$2:A271,A271)</f>
        <v>3</v>
      </c>
      <c r="D271" s="9" t="str">
        <f t="shared" si="4"/>
        <v>וייס - שחר/מיטל|3</v>
      </c>
      <c r="E271" s="9" t="str">
        <f>'לוח הסעות מוצע'!B69</f>
        <v>צהריים</v>
      </c>
      <c r="F271" s="9" t="s">
        <v>633</v>
      </c>
    </row>
    <row r="272" spans="1:6">
      <c r="A272" s="9" t="str">
        <f>'לוח הסעות מוצע'!E69</f>
        <v>אגאי - ערן/ליאת</v>
      </c>
      <c r="B272" s="10">
        <f>'לוח הסעות מוצע'!A69</f>
        <v>46542</v>
      </c>
      <c r="C272" s="9">
        <f>COUNTIF($A$2:A272,A272)</f>
        <v>3</v>
      </c>
      <c r="D272" s="9" t="str">
        <f t="shared" si="4"/>
        <v>אגאי - ערן/ליאת|3</v>
      </c>
      <c r="E272" s="9" t="str">
        <f>'לוח הסעות מוצע'!B69</f>
        <v>צהריים</v>
      </c>
      <c r="F272" s="9" t="s">
        <v>633</v>
      </c>
    </row>
    <row r="273" spans="1:6">
      <c r="A273" s="9" t="str">
        <f>'לוח הסעות מוצע'!F69</f>
        <v>אל אל - שרון/סיון</v>
      </c>
      <c r="B273" s="10">
        <f>'לוח הסעות מוצע'!A69</f>
        <v>46542</v>
      </c>
      <c r="C273" s="9">
        <f>COUNTIF($A$2:A273,A273)</f>
        <v>3</v>
      </c>
      <c r="D273" s="9" t="str">
        <f t="shared" si="4"/>
        <v>אל אל - שרון/סיון|3</v>
      </c>
      <c r="E273" s="9" t="str">
        <f>'לוח הסעות מוצע'!B69</f>
        <v>צהריים</v>
      </c>
      <c r="F273" s="9" t="s">
        <v>634</v>
      </c>
    </row>
    <row r="274" spans="1:6">
      <c r="A274" s="9" t="str">
        <f>'לוח הסעות מוצע'!C70</f>
        <v>אוזרסקי - ודים/ירדן</v>
      </c>
      <c r="B274" s="10">
        <f>'לוח הסעות מוצע'!A70</f>
        <v>46556</v>
      </c>
      <c r="C274" s="9">
        <f>COUNTIF($A$2:A274,A274)</f>
        <v>2</v>
      </c>
      <c r="D274" s="9" t="str">
        <f t="shared" si="4"/>
        <v>אוזרסקי - ודים/ירדן|2</v>
      </c>
      <c r="E274" s="9" t="str">
        <f>'לוח הסעות מוצע'!B70</f>
        <v>בוקר</v>
      </c>
      <c r="F274" s="9" t="s">
        <v>633</v>
      </c>
    </row>
    <row r="275" spans="1:6">
      <c r="A275" s="9" t="str">
        <f>'לוח הסעות מוצע'!D70</f>
        <v>שני - ינאי/אביגל</v>
      </c>
      <c r="B275" s="10">
        <f>'לוח הסעות מוצע'!A70</f>
        <v>46556</v>
      </c>
      <c r="C275" s="9">
        <f>COUNTIF($A$2:A275,A275)</f>
        <v>3</v>
      </c>
      <c r="D275" s="9" t="str">
        <f t="shared" si="4"/>
        <v>שני - ינאי/אביגל|3</v>
      </c>
      <c r="E275" s="9" t="str">
        <f>'לוח הסעות מוצע'!B70</f>
        <v>בוקר</v>
      </c>
      <c r="F275" s="9" t="s">
        <v>633</v>
      </c>
    </row>
    <row r="276" spans="1:6">
      <c r="A276" s="9" t="str">
        <f>'לוח הסעות מוצע'!E70</f>
        <v>קליינר - טל/מיכל שרית</v>
      </c>
      <c r="B276" s="10">
        <f>'לוח הסעות מוצע'!A70</f>
        <v>46556</v>
      </c>
      <c r="C276" s="9">
        <f>COUNTIF($A$2:A276,A276)</f>
        <v>3</v>
      </c>
      <c r="D276" s="9" t="str">
        <f t="shared" si="4"/>
        <v>קליינר - טל/מיכל שרית|3</v>
      </c>
      <c r="E276" s="9" t="str">
        <f>'לוח הסעות מוצע'!B70</f>
        <v>בוקר</v>
      </c>
      <c r="F276" s="9" t="s">
        <v>633</v>
      </c>
    </row>
    <row r="277" spans="1:6">
      <c r="A277" s="9" t="str">
        <f>'לוח הסעות מוצע'!F70</f>
        <v>רביד - אורי/איה</v>
      </c>
      <c r="B277" s="10">
        <f>'לוח הסעות מוצע'!A70</f>
        <v>46556</v>
      </c>
      <c r="C277" s="9">
        <f>COUNTIF($A$2:A277,A277)</f>
        <v>3</v>
      </c>
      <c r="D277" s="9" t="str">
        <f t="shared" si="4"/>
        <v>רביד - אורי/איה|3</v>
      </c>
      <c r="E277" s="9" t="str">
        <f>'לוח הסעות מוצע'!B70</f>
        <v>בוקר</v>
      </c>
      <c r="F277" s="9" t="s">
        <v>634</v>
      </c>
    </row>
    <row r="278" spans="1:6">
      <c r="A278" s="9" t="str">
        <f>'לוח הסעות מוצע'!C71</f>
        <v>בוסיבא - ליאת</v>
      </c>
      <c r="B278" s="10">
        <f>'לוח הסעות מוצע'!A71</f>
        <v>46556</v>
      </c>
      <c r="C278" s="9">
        <f>COUNTIF($A$2:A278,A278)</f>
        <v>3</v>
      </c>
      <c r="D278" s="9" t="str">
        <f t="shared" si="4"/>
        <v>בוסיבא - ליאת|3</v>
      </c>
      <c r="E278" s="9" t="str">
        <f>'לוח הסעות מוצע'!B71</f>
        <v>צהריים</v>
      </c>
      <c r="F278" s="9" t="s">
        <v>633</v>
      </c>
    </row>
    <row r="279" spans="1:6">
      <c r="A279" s="9" t="str">
        <f>'לוח הסעות מוצע'!D71</f>
        <v>בכר - אביעד/נופר</v>
      </c>
      <c r="B279" s="10">
        <f>'לוח הסעות מוצע'!A71</f>
        <v>46556</v>
      </c>
      <c r="C279" s="9">
        <f>COUNTIF($A$2:A279,A279)</f>
        <v>3</v>
      </c>
      <c r="D279" s="9" t="str">
        <f t="shared" si="4"/>
        <v>בכר - אביעד/נופר|3</v>
      </c>
      <c r="E279" s="9" t="str">
        <f>'לוח הסעות מוצע'!B71</f>
        <v>צהריים</v>
      </c>
      <c r="F279" s="9" t="s">
        <v>633</v>
      </c>
    </row>
    <row r="280" spans="1:6">
      <c r="A280" s="9" t="str">
        <f>'לוח הסעות מוצע'!E71</f>
        <v>סהר - יתיר/קרן שמש</v>
      </c>
      <c r="B280" s="10">
        <f>'לוח הסעות מוצע'!A71</f>
        <v>46556</v>
      </c>
      <c r="C280" s="9">
        <f>COUNTIF($A$2:A280,A280)</f>
        <v>3</v>
      </c>
      <c r="D280" s="9" t="str">
        <f t="shared" si="4"/>
        <v>סהר - יתיר/קרן שמש|3</v>
      </c>
      <c r="E280" s="9" t="str">
        <f>'לוח הסעות מוצע'!B71</f>
        <v>צהריים</v>
      </c>
      <c r="F280" s="9" t="s">
        <v>633</v>
      </c>
    </row>
    <row r="281" spans="1:6">
      <c r="A281" s="9" t="str">
        <f>'לוח הסעות מוצע'!F71</f>
        <v>לנקרי - עמר/לאה</v>
      </c>
      <c r="B281" s="10">
        <f>'לוח הסעות מוצע'!A71</f>
        <v>46556</v>
      </c>
      <c r="C281" s="9">
        <f>COUNTIF($A$2:A281,A281)</f>
        <v>3</v>
      </c>
      <c r="D281" s="9" t="str">
        <f t="shared" si="4"/>
        <v>לנקרי - עמר/לאה|3</v>
      </c>
      <c r="E281" s="9" t="str">
        <f>'לוח הסעות מוצע'!B71</f>
        <v>צהריים</v>
      </c>
      <c r="F281" s="9" t="s">
        <v>634</v>
      </c>
    </row>
    <row r="282" spans="1:6">
      <c r="A282" s="9" t="str">
        <f>'לוח הסעות מוצע'!C72</f>
        <v>בלקין פרדו ב - מרסלו/מילנה</v>
      </c>
      <c r="B282" s="10">
        <f>'לוח הסעות מוצע'!A72</f>
        <v>46563</v>
      </c>
      <c r="C282" s="9">
        <f>COUNTIF($A$2:A282,A282)</f>
        <v>3</v>
      </c>
      <c r="D282" s="9" t="str">
        <f t="shared" si="4"/>
        <v>בלקין פרדו ב - מרסלו/מילנה|3</v>
      </c>
      <c r="E282" s="9" t="str">
        <f>'לוח הסעות מוצע'!B72</f>
        <v>בוקר</v>
      </c>
      <c r="F282" s="9" t="s">
        <v>633</v>
      </c>
    </row>
    <row r="283" spans="1:6">
      <c r="A283" s="9" t="str">
        <f>'לוח הסעות מוצע'!D72</f>
        <v>בן ארוש - חגי חיים/שני</v>
      </c>
      <c r="B283" s="10">
        <f>'לוח הסעות מוצע'!A72</f>
        <v>46563</v>
      </c>
      <c r="C283" s="9">
        <f>COUNTIF($A$2:A283,A283)</f>
        <v>3</v>
      </c>
      <c r="D283" s="9" t="str">
        <f t="shared" si="4"/>
        <v>בן ארוש - חגי חיים/שני|3</v>
      </c>
      <c r="E283" s="9" t="str">
        <f>'לוח הסעות מוצע'!B72</f>
        <v>בוקר</v>
      </c>
      <c r="F283" s="9" t="s">
        <v>633</v>
      </c>
    </row>
    <row r="284" spans="1:6">
      <c r="A284" s="9" t="str">
        <f>'לוח הסעות מוצע'!E72</f>
        <v>זדה - רביב/מיכל</v>
      </c>
      <c r="B284" s="10">
        <f>'לוח הסעות מוצע'!A72</f>
        <v>46563</v>
      </c>
      <c r="C284" s="9">
        <f>COUNTIF($A$2:A284,A284)</f>
        <v>3</v>
      </c>
      <c r="D284" s="9" t="str">
        <f t="shared" si="4"/>
        <v>זדה - רביב/מיכל|3</v>
      </c>
      <c r="E284" s="9" t="str">
        <f>'לוח הסעות מוצע'!B72</f>
        <v>בוקר</v>
      </c>
      <c r="F284" s="9" t="s">
        <v>633</v>
      </c>
    </row>
    <row r="285" spans="1:6">
      <c r="A285" s="9" t="str">
        <f>'לוח הסעות מוצע'!F72</f>
        <v>יעקובי - יניב/הילה</v>
      </c>
      <c r="B285" s="10">
        <f>'לוח הסעות מוצע'!A72</f>
        <v>46563</v>
      </c>
      <c r="C285" s="9">
        <f>COUNTIF($A$2:A285,A285)</f>
        <v>3</v>
      </c>
      <c r="D285" s="9" t="str">
        <f t="shared" si="4"/>
        <v>יעקובי - יניב/הילה|3</v>
      </c>
      <c r="E285" s="9" t="str">
        <f>'לוח הסעות מוצע'!B72</f>
        <v>בוקר</v>
      </c>
      <c r="F285" s="9" t="s">
        <v>634</v>
      </c>
    </row>
    <row r="286" spans="1:6">
      <c r="A286" s="9" t="str">
        <f>'לוח הסעות מוצע'!C73</f>
        <v>כרמל - אלעד/מיכל</v>
      </c>
      <c r="B286" s="10">
        <f>'לוח הסעות מוצע'!A73</f>
        <v>46563</v>
      </c>
      <c r="C286" s="9">
        <f>COUNTIF($A$2:A286,A286)</f>
        <v>3</v>
      </c>
      <c r="D286" s="9" t="str">
        <f t="shared" si="4"/>
        <v>כרמל - אלעד/מיכל|3</v>
      </c>
      <c r="E286" s="9" t="str">
        <f>'לוח הסעות מוצע'!B73</f>
        <v>צהריים</v>
      </c>
      <c r="F286" s="9" t="s">
        <v>633</v>
      </c>
    </row>
    <row r="287" spans="1:6">
      <c r="A287" s="9" t="str">
        <f>'לוח הסעות מוצע'!D73</f>
        <v>פריד - אמיר יעק/טלי</v>
      </c>
      <c r="B287" s="10">
        <f>'לוח הסעות מוצע'!A73</f>
        <v>46563</v>
      </c>
      <c r="C287" s="9">
        <f>COUNTIF($A$2:A287,A287)</f>
        <v>3</v>
      </c>
      <c r="D287" s="9" t="str">
        <f t="shared" si="4"/>
        <v>פריד - אמיר יעק/טלי|3</v>
      </c>
      <c r="E287" s="9" t="str">
        <f>'לוח הסעות מוצע'!B73</f>
        <v>צהריים</v>
      </c>
      <c r="F287" s="9" t="s">
        <v>633</v>
      </c>
    </row>
    <row r="288" spans="1:6">
      <c r="A288" s="9" t="str">
        <f>'לוח הסעות מוצע'!E73</f>
        <v>רפפורט - אביב/ענת</v>
      </c>
      <c r="B288" s="10">
        <f>'לוח הסעות מוצע'!A73</f>
        <v>46563</v>
      </c>
      <c r="C288" s="9">
        <f>COUNTIF($A$2:A288,A288)</f>
        <v>3</v>
      </c>
      <c r="D288" s="9" t="str">
        <f t="shared" si="4"/>
        <v>רפפורט - אביב/ענת|3</v>
      </c>
      <c r="E288" s="9" t="str">
        <f>'לוח הסעות מוצע'!B73</f>
        <v>צהריים</v>
      </c>
      <c r="F288" s="9" t="s">
        <v>633</v>
      </c>
    </row>
    <row r="289" spans="1:6">
      <c r="A289" s="9" t="str">
        <f>'לוח הסעות מוצע'!F73</f>
        <v>ווינטראוב - אורן נחמן/קרן</v>
      </c>
      <c r="B289" s="10">
        <f>'לוח הסעות מוצע'!A73</f>
        <v>46563</v>
      </c>
      <c r="C289" s="9">
        <f>COUNTIF($A$2:A289,A289)</f>
        <v>3</v>
      </c>
      <c r="D289" s="9" t="str">
        <f t="shared" si="4"/>
        <v>ווינטראוב - אורן נחמן/קרן|3</v>
      </c>
      <c r="E289" s="9" t="str">
        <f>'לוח הסעות מוצע'!B73</f>
        <v>צהריים</v>
      </c>
      <c r="F289" s="9" t="s">
        <v>634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6" customWidth="1"/>
    <col min="2" max="2" width="12" customWidth="1"/>
    <col min="3" max="6" width="9" customWidth="1"/>
    <col min="7" max="9" width="13" customWidth="1"/>
  </cols>
  <sheetData>
    <row r="1" spans="1:9">
      <c r="A1" s="1" t="s">
        <v>629</v>
      </c>
      <c r="B1" s="1" t="s">
        <v>635</v>
      </c>
      <c r="C1" s="1" t="s">
        <v>527</v>
      </c>
      <c r="D1" s="1" t="s">
        <v>532</v>
      </c>
      <c r="E1" s="1" t="s">
        <v>633</v>
      </c>
      <c r="F1" s="1" t="s">
        <v>634</v>
      </c>
      <c r="G1" s="1" t="s">
        <v>636</v>
      </c>
      <c r="H1" s="1" t="s">
        <v>637</v>
      </c>
      <c r="I1" s="1" t="s">
        <v>638</v>
      </c>
    </row>
    <row r="2" spans="1:9">
      <c r="A2" s="2" t="s">
        <v>599</v>
      </c>
      <c r="B2" s="7">
        <f>COUNTIF(עזר!$A$2:$A$289,$A2)</f>
        <v>3</v>
      </c>
      <c r="C2" s="7">
        <f>COUNTIFS(עזר!$A$2:$A$289,$A2,עזר!$E$2:$E$289,"בוקר")</f>
        <v>1</v>
      </c>
      <c r="D2" s="7">
        <f>COUNTIFS(עזר!$A$2:$A$289,$A2,עזר!$E$2:$E$289,"צהריים")</f>
        <v>2</v>
      </c>
      <c r="E2" s="7">
        <f>COUNTIFS(עזר!$A$2:$A$289,$A2,עזר!$F$2:$F$289,"הסעה")</f>
        <v>2</v>
      </c>
      <c r="F2" s="7">
        <f>COUNTIFS(עזר!$A$2:$A$289,$A2,עזר!$F$2:$F$289,"רכב")</f>
        <v>1</v>
      </c>
      <c r="G2" s="6">
        <f>IFERROR(INDEX(עזר!$B$2:$B$289,MATCH($A2&amp;"|1",עזר!$D$2:$D$289,0)),"")</f>
        <v>46353</v>
      </c>
      <c r="H2" s="6">
        <f>IFERROR(INDEX(עזר!$B$2:$B$289,MATCH($A2&amp;"|2",עזר!$D$2:$D$289,0)),"")</f>
        <v>46444</v>
      </c>
      <c r="I2" s="6">
        <f>IFERROR(INDEX(עזר!$B$2:$B$289,MATCH($A2&amp;"|3",עזר!$D$2:$D$289,0)),"")</f>
        <v>46542</v>
      </c>
    </row>
    <row r="3" spans="1:9">
      <c r="A3" s="2" t="s">
        <v>627</v>
      </c>
      <c r="B3" s="7">
        <f>COUNTIF(עזר!$A$2:$A$289,$A3)</f>
        <v>2</v>
      </c>
      <c r="C3" s="7">
        <f>COUNTIFS(עזר!$A$2:$A$289,$A3,עזר!$E$2:$E$289,"בוקר")</f>
        <v>1</v>
      </c>
      <c r="D3" s="7">
        <f>COUNTIFS(עזר!$A$2:$A$289,$A3,עזר!$E$2:$E$289,"צהריים")</f>
        <v>1</v>
      </c>
      <c r="E3" s="7">
        <f>COUNTIFS(עזר!$A$2:$A$289,$A3,עזר!$F$2:$F$289,"הסעה")</f>
        <v>2</v>
      </c>
      <c r="F3" s="7">
        <f>COUNTIFS(עזר!$A$2:$A$289,$A3,עזר!$F$2:$F$289,"רכב")</f>
        <v>0</v>
      </c>
      <c r="G3" s="6">
        <f>IFERROR(INDEX(עזר!$B$2:$B$289,MATCH($A3&amp;"|1",עזר!$D$2:$D$289,0)),"")</f>
        <v>46437</v>
      </c>
      <c r="H3" s="6">
        <f>IFERROR(INDEX(עזר!$B$2:$B$289,MATCH($A3&amp;"|2",עזר!$D$2:$D$289,0)),"")</f>
        <v>46556</v>
      </c>
      <c r="I3" s="6" t="str">
        <f>IFERROR(INDEX(עזר!$B$2:$B$289,MATCH($A3&amp;"|3",עזר!$D$2:$D$289,0)),"")</f>
        <v/>
      </c>
    </row>
    <row r="4" spans="1:9">
      <c r="A4" s="2" t="s">
        <v>583</v>
      </c>
      <c r="B4" s="7">
        <f>COUNTIF(עזר!$A$2:$A$289,$A4)</f>
        <v>3</v>
      </c>
      <c r="C4" s="7">
        <f>COUNTIFS(עזר!$A$2:$A$289,$A4,עזר!$E$2:$E$289,"בוקר")</f>
        <v>2</v>
      </c>
      <c r="D4" s="7">
        <f>COUNTIFS(עזר!$A$2:$A$289,$A4,עזר!$E$2:$E$289,"צהריים")</f>
        <v>1</v>
      </c>
      <c r="E4" s="7">
        <f>COUNTIFS(עזר!$A$2:$A$289,$A4,עזר!$F$2:$F$289,"הסעה")</f>
        <v>2</v>
      </c>
      <c r="F4" s="7">
        <f>COUNTIFS(עזר!$A$2:$A$289,$A4,עזר!$F$2:$F$289,"רכב")</f>
        <v>1</v>
      </c>
      <c r="G4" s="6">
        <f>IFERROR(INDEX(עזר!$B$2:$B$289,MATCH($A4&amp;"|1",עזר!$D$2:$D$289,0)),"")</f>
        <v>46339</v>
      </c>
      <c r="H4" s="6">
        <f>IFERROR(INDEX(עזר!$B$2:$B$289,MATCH($A4&amp;"|2",עזר!$D$2:$D$289,0)),"")</f>
        <v>46437</v>
      </c>
      <c r="I4" s="6">
        <f>IFERROR(INDEX(עזר!$B$2:$B$289,MATCH($A4&amp;"|3",עזר!$D$2:$D$289,0)),"")</f>
        <v>46479</v>
      </c>
    </row>
    <row r="5" spans="1:9">
      <c r="A5" s="2" t="s">
        <v>550</v>
      </c>
      <c r="B5" s="7">
        <f>COUNTIF(עזר!$A$2:$A$289,$A5)</f>
        <v>3</v>
      </c>
      <c r="C5" s="7">
        <f>COUNTIFS(עזר!$A$2:$A$289,$A5,עזר!$E$2:$E$289,"בוקר")</f>
        <v>1</v>
      </c>
      <c r="D5" s="7">
        <f>COUNTIFS(עזר!$A$2:$A$289,$A5,עזר!$E$2:$E$289,"צהריים")</f>
        <v>2</v>
      </c>
      <c r="E5" s="7">
        <f>COUNTIFS(עזר!$A$2:$A$289,$A5,עזר!$F$2:$F$289,"הסעה")</f>
        <v>2</v>
      </c>
      <c r="F5" s="7">
        <f>COUNTIFS(עזר!$A$2:$A$289,$A5,עזר!$F$2:$F$289,"רכב")</f>
        <v>1</v>
      </c>
      <c r="G5" s="6">
        <f>IFERROR(INDEX(עזר!$B$2:$B$289,MATCH($A5&amp;"|1",עזר!$D$2:$D$289,0)),"")</f>
        <v>46304</v>
      </c>
      <c r="H5" s="6">
        <f>IFERROR(INDEX(עזר!$B$2:$B$289,MATCH($A5&amp;"|2",עזר!$D$2:$D$289,0)),"")</f>
        <v>46395</v>
      </c>
      <c r="I5" s="6">
        <f>IFERROR(INDEX(עזר!$B$2:$B$289,MATCH($A5&amp;"|3",עזר!$D$2:$D$289,0)),"")</f>
        <v>46486</v>
      </c>
    </row>
    <row r="6" spans="1:9">
      <c r="A6" s="2" t="s">
        <v>590</v>
      </c>
      <c r="B6" s="7">
        <f>COUNTIF(עזר!$A$2:$A$289,$A6)</f>
        <v>3</v>
      </c>
      <c r="C6" s="7">
        <f>COUNTIFS(עזר!$A$2:$A$289,$A6,עזר!$E$2:$E$289,"בוקר")</f>
        <v>1</v>
      </c>
      <c r="D6" s="7">
        <f>COUNTIFS(עזר!$A$2:$A$289,$A6,עזר!$E$2:$E$289,"צהריים")</f>
        <v>2</v>
      </c>
      <c r="E6" s="7">
        <f>COUNTIFS(עזר!$A$2:$A$289,$A6,עזר!$F$2:$F$289,"הסעה")</f>
        <v>2</v>
      </c>
      <c r="F6" s="7">
        <f>COUNTIFS(עזר!$A$2:$A$289,$A6,עזר!$F$2:$F$289,"רכב")</f>
        <v>1</v>
      </c>
      <c r="G6" s="6">
        <f>IFERROR(INDEX(עזר!$B$2:$B$289,MATCH($A6&amp;"|1",עזר!$D$2:$D$289,0)),"")</f>
        <v>46346</v>
      </c>
      <c r="H6" s="6">
        <f>IFERROR(INDEX(עזר!$B$2:$B$289,MATCH($A6&amp;"|2",עזר!$D$2:$D$289,0)),"")</f>
        <v>46437</v>
      </c>
      <c r="I6" s="6">
        <f>IFERROR(INDEX(עזר!$B$2:$B$289,MATCH($A6&amp;"|3",עזר!$D$2:$D$289,0)),"")</f>
        <v>46542</v>
      </c>
    </row>
    <row r="7" spans="1:9">
      <c r="A7" s="2" t="s">
        <v>580</v>
      </c>
      <c r="B7" s="7">
        <f>COUNTIF(עזר!$A$2:$A$289,$A7)</f>
        <v>3</v>
      </c>
      <c r="C7" s="7">
        <f>COUNTIFS(עזר!$A$2:$A$289,$A7,עזר!$E$2:$E$289,"בוקר")</f>
        <v>1</v>
      </c>
      <c r="D7" s="7">
        <f>COUNTIFS(עזר!$A$2:$A$289,$A7,עזר!$E$2:$E$289,"צהריים")</f>
        <v>2</v>
      </c>
      <c r="E7" s="7">
        <f>COUNTIFS(עזר!$A$2:$A$289,$A7,עזר!$F$2:$F$289,"הסעה")</f>
        <v>3</v>
      </c>
      <c r="F7" s="7">
        <f>COUNTIFS(עזר!$A$2:$A$289,$A7,עזר!$F$2:$F$289,"רכב")</f>
        <v>0</v>
      </c>
      <c r="G7" s="6">
        <f>IFERROR(INDEX(עזר!$B$2:$B$289,MATCH($A7&amp;"|1",עזר!$D$2:$D$289,0)),"")</f>
        <v>46332</v>
      </c>
      <c r="H7" s="6">
        <f>IFERROR(INDEX(עזר!$B$2:$B$289,MATCH($A7&amp;"|2",עזר!$D$2:$D$289,0)),"")</f>
        <v>46430</v>
      </c>
      <c r="I7" s="6">
        <f>IFERROR(INDEX(עזר!$B$2:$B$289,MATCH($A7&amp;"|3",עזר!$D$2:$D$289,0)),"")</f>
        <v>46535</v>
      </c>
    </row>
    <row r="8" spans="1:9">
      <c r="A8" s="2" t="s">
        <v>621</v>
      </c>
      <c r="B8" s="7">
        <f>COUNTIF(עזר!$A$2:$A$289,$A8)</f>
        <v>2</v>
      </c>
      <c r="C8" s="7">
        <f>COUNTIFS(עזר!$A$2:$A$289,$A8,עזר!$E$2:$E$289,"בוקר")</f>
        <v>1</v>
      </c>
      <c r="D8" s="7">
        <f>COUNTIFS(עזר!$A$2:$A$289,$A8,עזר!$E$2:$E$289,"צהריים")</f>
        <v>1</v>
      </c>
      <c r="E8" s="7">
        <f>COUNTIFS(עזר!$A$2:$A$289,$A8,עזר!$F$2:$F$289,"הסעה")</f>
        <v>2</v>
      </c>
      <c r="F8" s="7">
        <f>COUNTIFS(עזר!$A$2:$A$289,$A8,עזר!$F$2:$F$289,"רכב")</f>
        <v>0</v>
      </c>
      <c r="G8" s="6">
        <f>IFERROR(INDEX(עזר!$B$2:$B$289,MATCH($A8&amp;"|1",עזר!$D$2:$D$289,0)),"")</f>
        <v>46381</v>
      </c>
      <c r="H8" s="6">
        <f>IFERROR(INDEX(עזר!$B$2:$B$289,MATCH($A8&amp;"|2",עזר!$D$2:$D$289,0)),"")</f>
        <v>46465</v>
      </c>
      <c r="I8" s="6" t="str">
        <f>IFERROR(INDEX(עזר!$B$2:$B$289,MATCH($A8&amp;"|3",עזר!$D$2:$D$289,0)),"")</f>
        <v/>
      </c>
    </row>
    <row r="9" spans="1:9">
      <c r="A9" s="2" t="s">
        <v>595</v>
      </c>
      <c r="B9" s="7">
        <f>COUNTIF(עזר!$A$2:$A$289,$A9)</f>
        <v>3</v>
      </c>
      <c r="C9" s="7">
        <f>COUNTIFS(עזר!$A$2:$A$289,$A9,עזר!$E$2:$E$289,"בוקר")</f>
        <v>2</v>
      </c>
      <c r="D9" s="7">
        <f>COUNTIFS(עזר!$A$2:$A$289,$A9,עזר!$E$2:$E$289,"צהריים")</f>
        <v>1</v>
      </c>
      <c r="E9" s="7">
        <f>COUNTIFS(עזר!$A$2:$A$289,$A9,עזר!$F$2:$F$289,"הסעה")</f>
        <v>3</v>
      </c>
      <c r="F9" s="7">
        <f>COUNTIFS(עזר!$A$2:$A$289,$A9,עזר!$F$2:$F$289,"רכב")</f>
        <v>0</v>
      </c>
      <c r="G9" s="6">
        <f>IFERROR(INDEX(עזר!$B$2:$B$289,MATCH($A9&amp;"|1",עזר!$D$2:$D$289,0)),"")</f>
        <v>46346</v>
      </c>
      <c r="H9" s="6">
        <f>IFERROR(INDEX(עזר!$B$2:$B$289,MATCH($A9&amp;"|2",עזר!$D$2:$D$289,0)),"")</f>
        <v>46437</v>
      </c>
      <c r="I9" s="6">
        <f>IFERROR(INDEX(עזר!$B$2:$B$289,MATCH($A9&amp;"|3",עזר!$D$2:$D$289,0)),"")</f>
        <v>46542</v>
      </c>
    </row>
    <row r="10" spans="1:9">
      <c r="A10" s="2" t="s">
        <v>616</v>
      </c>
      <c r="B10" s="7">
        <f>COUNTIF(עזר!$A$2:$A$289,$A10)</f>
        <v>2</v>
      </c>
      <c r="C10" s="7">
        <f>COUNTIFS(עזר!$A$2:$A$289,$A10,עזר!$E$2:$E$289,"בוקר")</f>
        <v>1</v>
      </c>
      <c r="D10" s="7">
        <f>COUNTIFS(עזר!$A$2:$A$289,$A10,עזר!$E$2:$E$289,"צהריים")</f>
        <v>1</v>
      </c>
      <c r="E10" s="7">
        <f>COUNTIFS(עזר!$A$2:$A$289,$A10,עזר!$F$2:$F$289,"הסעה")</f>
        <v>2</v>
      </c>
      <c r="F10" s="7">
        <f>COUNTIFS(עזר!$A$2:$A$289,$A10,עזר!$F$2:$F$289,"רכב")</f>
        <v>0</v>
      </c>
      <c r="G10" s="6">
        <f>IFERROR(INDEX(עזר!$B$2:$B$289,MATCH($A10&amp;"|1",עזר!$D$2:$D$289,0)),"")</f>
        <v>46374</v>
      </c>
      <c r="H10" s="6">
        <f>IFERROR(INDEX(עזר!$B$2:$B$289,MATCH($A10&amp;"|2",עזר!$D$2:$D$289,0)),"")</f>
        <v>46423</v>
      </c>
      <c r="I10" s="6" t="str">
        <f>IFERROR(INDEX(עזר!$B$2:$B$289,MATCH($A10&amp;"|3",עזר!$D$2:$D$289,0)),"")</f>
        <v/>
      </c>
    </row>
    <row r="11" spans="1:9">
      <c r="A11" s="2" t="s">
        <v>569</v>
      </c>
      <c r="B11" s="7">
        <f>COUNTIF(עזר!$A$2:$A$289,$A11)</f>
        <v>3</v>
      </c>
      <c r="C11" s="7">
        <f>COUNTIFS(עזר!$A$2:$A$289,$A11,עזר!$E$2:$E$289,"בוקר")</f>
        <v>1</v>
      </c>
      <c r="D11" s="7">
        <f>COUNTIFS(עזר!$A$2:$A$289,$A11,עזר!$E$2:$E$289,"צהריים")</f>
        <v>2</v>
      </c>
      <c r="E11" s="7">
        <f>COUNTIFS(עזר!$A$2:$A$289,$A11,עזר!$F$2:$F$289,"הסעה")</f>
        <v>3</v>
      </c>
      <c r="F11" s="7">
        <f>COUNTIFS(עזר!$A$2:$A$289,$A11,עזר!$F$2:$F$289,"רכב")</f>
        <v>0</v>
      </c>
      <c r="G11" s="6">
        <f>IFERROR(INDEX(עזר!$B$2:$B$289,MATCH($A11&amp;"|1",עזר!$D$2:$D$289,0)),"")</f>
        <v>46325</v>
      </c>
      <c r="H11" s="6">
        <f>IFERROR(INDEX(עזר!$B$2:$B$289,MATCH($A11&amp;"|2",עזר!$D$2:$D$289,0)),"")</f>
        <v>46416</v>
      </c>
      <c r="I11" s="6">
        <f>IFERROR(INDEX(עזר!$B$2:$B$289,MATCH($A11&amp;"|3",עזר!$D$2:$D$289,0)),"")</f>
        <v>46528</v>
      </c>
    </row>
    <row r="12" spans="1:9">
      <c r="A12" s="2" t="s">
        <v>530</v>
      </c>
      <c r="B12" s="7">
        <f>COUNTIF(עזר!$A$2:$A$289,$A12)</f>
        <v>3</v>
      </c>
      <c r="C12" s="7">
        <f>COUNTIFS(עזר!$A$2:$A$289,$A12,עזר!$E$2:$E$289,"בוקר")</f>
        <v>2</v>
      </c>
      <c r="D12" s="7">
        <f>COUNTIFS(עזר!$A$2:$A$289,$A12,עזר!$E$2:$E$289,"צהריים")</f>
        <v>1</v>
      </c>
      <c r="E12" s="7">
        <f>COUNTIFS(עזר!$A$2:$A$289,$A12,עזר!$F$2:$F$289,"הסעה")</f>
        <v>2</v>
      </c>
      <c r="F12" s="7">
        <f>COUNTIFS(עזר!$A$2:$A$289,$A12,עזר!$F$2:$F$289,"רכב")</f>
        <v>1</v>
      </c>
      <c r="G12" s="6">
        <f>IFERROR(INDEX(עזר!$B$2:$B$289,MATCH($A12&amp;"|1",עזר!$D$2:$D$289,0)),"")</f>
        <v>46269</v>
      </c>
      <c r="H12" s="6">
        <f>IFERROR(INDEX(עזר!$B$2:$B$289,MATCH($A12&amp;"|2",עזר!$D$2:$D$289,0)),"")</f>
        <v>46381</v>
      </c>
      <c r="I12" s="6">
        <f>IFERROR(INDEX(עזר!$B$2:$B$289,MATCH($A12&amp;"|3",עזר!$D$2:$D$289,0)),"")</f>
        <v>46507</v>
      </c>
    </row>
    <row r="13" spans="1:9">
      <c r="A13" s="2" t="s">
        <v>605</v>
      </c>
      <c r="B13" s="7">
        <f>COUNTIF(עזר!$A$2:$A$289,$A13)</f>
        <v>2</v>
      </c>
      <c r="C13" s="7">
        <f>COUNTIFS(עזר!$A$2:$A$289,$A13,עזר!$E$2:$E$289,"בוקר")</f>
        <v>1</v>
      </c>
      <c r="D13" s="7">
        <f>COUNTIFS(עזר!$A$2:$A$289,$A13,עזר!$E$2:$E$289,"צהריים")</f>
        <v>1</v>
      </c>
      <c r="E13" s="7">
        <f>COUNTIFS(עזר!$A$2:$A$289,$A13,עזר!$F$2:$F$289,"הסעה")</f>
        <v>2</v>
      </c>
      <c r="F13" s="7">
        <f>COUNTIFS(עזר!$A$2:$A$289,$A13,עזר!$F$2:$F$289,"רכב")</f>
        <v>0</v>
      </c>
      <c r="G13" s="6">
        <f>IFERROR(INDEX(עזר!$B$2:$B$289,MATCH($A13&amp;"|1",עזר!$D$2:$D$289,0)),"")</f>
        <v>46360</v>
      </c>
      <c r="H13" s="6">
        <f>IFERROR(INDEX(עזר!$B$2:$B$289,MATCH($A13&amp;"|2",עזר!$D$2:$D$289,0)),"")</f>
        <v>46451</v>
      </c>
      <c r="I13" s="6" t="str">
        <f>IFERROR(INDEX(עזר!$B$2:$B$289,MATCH($A13&amp;"|3",עזר!$D$2:$D$289,0)),"")</f>
        <v/>
      </c>
    </row>
    <row r="14" spans="1:9">
      <c r="A14" s="2" t="s">
        <v>596</v>
      </c>
      <c r="B14" s="7">
        <f>COUNTIF(עזר!$A$2:$A$289,$A14)</f>
        <v>3</v>
      </c>
      <c r="C14" s="7">
        <f>COUNTIFS(עזר!$A$2:$A$289,$A14,עזר!$E$2:$E$289,"בוקר")</f>
        <v>1</v>
      </c>
      <c r="D14" s="7">
        <f>COUNTIFS(עזר!$A$2:$A$289,$A14,עזר!$E$2:$E$289,"צהריים")</f>
        <v>2</v>
      </c>
      <c r="E14" s="7">
        <f>COUNTIFS(עזר!$A$2:$A$289,$A14,עזר!$F$2:$F$289,"הסעה")</f>
        <v>2</v>
      </c>
      <c r="F14" s="7">
        <f>COUNTIFS(עזר!$A$2:$A$289,$A14,עזר!$F$2:$F$289,"רכב")</f>
        <v>1</v>
      </c>
      <c r="G14" s="6">
        <f>IFERROR(INDEX(עזר!$B$2:$B$289,MATCH($A14&amp;"|1",עזר!$D$2:$D$289,0)),"")</f>
        <v>46346</v>
      </c>
      <c r="H14" s="6">
        <f>IFERROR(INDEX(עזר!$B$2:$B$289,MATCH($A14&amp;"|2",עזר!$D$2:$D$289,0)),"")</f>
        <v>46444</v>
      </c>
      <c r="I14" s="6">
        <f>IFERROR(INDEX(עזר!$B$2:$B$289,MATCH($A14&amp;"|3",עזר!$D$2:$D$289,0)),"")</f>
        <v>46556</v>
      </c>
    </row>
    <row r="15" spans="1:9">
      <c r="A15" s="2" t="s">
        <v>561</v>
      </c>
      <c r="B15" s="7">
        <f>COUNTIF(עזר!$A$2:$A$289,$A15)</f>
        <v>3</v>
      </c>
      <c r="C15" s="7">
        <f>COUNTIFS(עזר!$A$2:$A$289,$A15,עזר!$E$2:$E$289,"בוקר")</f>
        <v>1</v>
      </c>
      <c r="D15" s="7">
        <f>COUNTIFS(עזר!$A$2:$A$289,$A15,עזר!$E$2:$E$289,"צהריים")</f>
        <v>2</v>
      </c>
      <c r="E15" s="7">
        <f>COUNTIFS(עזר!$A$2:$A$289,$A15,עזר!$F$2:$F$289,"הסעה")</f>
        <v>2</v>
      </c>
      <c r="F15" s="7">
        <f>COUNTIFS(עזר!$A$2:$A$289,$A15,עזר!$F$2:$F$289,"רכב")</f>
        <v>1</v>
      </c>
      <c r="G15" s="6">
        <f>IFERROR(INDEX(עזר!$B$2:$B$289,MATCH($A15&amp;"|1",עזר!$D$2:$D$289,0)),"")</f>
        <v>46318</v>
      </c>
      <c r="H15" s="6">
        <f>IFERROR(INDEX(עזר!$B$2:$B$289,MATCH($A15&amp;"|2",עזר!$D$2:$D$289,0)),"")</f>
        <v>46409</v>
      </c>
      <c r="I15" s="6">
        <f>IFERROR(INDEX(עזר!$B$2:$B$289,MATCH($A15&amp;"|3",עזר!$D$2:$D$289,0)),"")</f>
        <v>46521</v>
      </c>
    </row>
    <row r="16" spans="1:9">
      <c r="A16" s="2" t="s">
        <v>594</v>
      </c>
      <c r="B16" s="7">
        <f>COUNTIF(עזר!$A$2:$A$289,$A16)</f>
        <v>3</v>
      </c>
      <c r="C16" s="7">
        <f>COUNTIFS(עזר!$A$2:$A$289,$A16,עזר!$E$2:$E$289,"בוקר")</f>
        <v>1</v>
      </c>
      <c r="D16" s="7">
        <f>COUNTIFS(עזר!$A$2:$A$289,$A16,עזר!$E$2:$E$289,"צהריים")</f>
        <v>2</v>
      </c>
      <c r="E16" s="7">
        <f>COUNTIFS(עזר!$A$2:$A$289,$A16,עזר!$F$2:$F$289,"הסעה")</f>
        <v>2</v>
      </c>
      <c r="F16" s="7">
        <f>COUNTIFS(עזר!$A$2:$A$289,$A16,עזר!$F$2:$F$289,"רכב")</f>
        <v>1</v>
      </c>
      <c r="G16" s="6">
        <f>IFERROR(INDEX(עזר!$B$2:$B$289,MATCH($A16&amp;"|1",עזר!$D$2:$D$289,0)),"")</f>
        <v>46346</v>
      </c>
      <c r="H16" s="6">
        <f>IFERROR(INDEX(עזר!$B$2:$B$289,MATCH($A16&amp;"|2",עזר!$D$2:$D$289,0)),"")</f>
        <v>46444</v>
      </c>
      <c r="I16" s="6">
        <f>IFERROR(INDEX(עזר!$B$2:$B$289,MATCH($A16&amp;"|3",עזר!$D$2:$D$289,0)),"")</f>
        <v>46556</v>
      </c>
    </row>
    <row r="17" spans="1:9">
      <c r="A17" s="2" t="s">
        <v>601</v>
      </c>
      <c r="B17" s="7">
        <f>COUNTIF(עזר!$A$2:$A$289,$A17)</f>
        <v>3</v>
      </c>
      <c r="C17" s="7">
        <f>COUNTIFS(עזר!$A$2:$A$289,$A17,עזר!$E$2:$E$289,"בוקר")</f>
        <v>2</v>
      </c>
      <c r="D17" s="7">
        <f>COUNTIFS(עזר!$A$2:$A$289,$A17,עזר!$E$2:$E$289,"צהריים")</f>
        <v>1</v>
      </c>
      <c r="E17" s="7">
        <f>COUNTIFS(עזר!$A$2:$A$289,$A17,עזר!$F$2:$F$289,"הסעה")</f>
        <v>2</v>
      </c>
      <c r="F17" s="7">
        <f>COUNTIFS(עזר!$A$2:$A$289,$A17,עזר!$F$2:$F$289,"רכב")</f>
        <v>1</v>
      </c>
      <c r="G17" s="6">
        <f>IFERROR(INDEX(עזר!$B$2:$B$289,MATCH($A17&amp;"|1",עזר!$D$2:$D$289,0)),"")</f>
        <v>46353</v>
      </c>
      <c r="H17" s="6">
        <f>IFERROR(INDEX(עזר!$B$2:$B$289,MATCH($A17&amp;"|2",עזר!$D$2:$D$289,0)),"")</f>
        <v>46451</v>
      </c>
      <c r="I17" s="6">
        <f>IFERROR(INDEX(עזר!$B$2:$B$289,MATCH($A17&amp;"|3",עזר!$D$2:$D$289,0)),"")</f>
        <v>46563</v>
      </c>
    </row>
    <row r="18" spans="1:9">
      <c r="A18" s="2" t="s">
        <v>586</v>
      </c>
      <c r="B18" s="7">
        <f>COUNTIF(עזר!$A$2:$A$289,$A18)</f>
        <v>3</v>
      </c>
      <c r="C18" s="7">
        <f>COUNTIFS(עזר!$A$2:$A$289,$A18,עזר!$E$2:$E$289,"בוקר")</f>
        <v>2</v>
      </c>
      <c r="D18" s="7">
        <f>COUNTIFS(עזר!$A$2:$A$289,$A18,עזר!$E$2:$E$289,"צהריים")</f>
        <v>1</v>
      </c>
      <c r="E18" s="7">
        <f>COUNTIFS(עזר!$A$2:$A$289,$A18,עזר!$F$2:$F$289,"הסעה")</f>
        <v>3</v>
      </c>
      <c r="F18" s="7">
        <f>COUNTIFS(עזר!$A$2:$A$289,$A18,עזר!$F$2:$F$289,"רכב")</f>
        <v>0</v>
      </c>
      <c r="G18" s="6">
        <f>IFERROR(INDEX(עזר!$B$2:$B$289,MATCH($A18&amp;"|1",עזר!$D$2:$D$289,0)),"")</f>
        <v>46339</v>
      </c>
      <c r="H18" s="6">
        <f>IFERROR(INDEX(עזר!$B$2:$B$289,MATCH($A18&amp;"|2",עזר!$D$2:$D$289,0)),"")</f>
        <v>46444</v>
      </c>
      <c r="I18" s="6">
        <f>IFERROR(INDEX(עזר!$B$2:$B$289,MATCH($A18&amp;"|3",עזר!$D$2:$D$289,0)),"")</f>
        <v>46563</v>
      </c>
    </row>
    <row r="19" spans="1:9">
      <c r="A19" s="2" t="s">
        <v>558</v>
      </c>
      <c r="B19" s="7">
        <f>COUNTIF(עזר!$A$2:$A$289,$A19)</f>
        <v>2</v>
      </c>
      <c r="C19" s="7">
        <f>COUNTIFS(עזר!$A$2:$A$289,$A19,עזר!$E$2:$E$289,"בוקר")</f>
        <v>1</v>
      </c>
      <c r="D19" s="7">
        <f>COUNTIFS(עזר!$A$2:$A$289,$A19,עזר!$E$2:$E$289,"צהריים")</f>
        <v>1</v>
      </c>
      <c r="E19" s="7">
        <f>COUNTIFS(עזר!$A$2:$A$289,$A19,עזר!$F$2:$F$289,"הסעה")</f>
        <v>2</v>
      </c>
      <c r="F19" s="7">
        <f>COUNTIFS(עזר!$A$2:$A$289,$A19,עזר!$F$2:$F$289,"רכב")</f>
        <v>0</v>
      </c>
      <c r="G19" s="6">
        <f>IFERROR(INDEX(עזר!$B$2:$B$289,MATCH($A19&amp;"|1",עזר!$D$2:$D$289,0)),"")</f>
        <v>46311</v>
      </c>
      <c r="H19" s="6">
        <f>IFERROR(INDEX(עזר!$B$2:$B$289,MATCH($A19&amp;"|2",עזר!$D$2:$D$289,0)),"")</f>
        <v>46339</v>
      </c>
      <c r="I19" s="6" t="str">
        <f>IFERROR(INDEX(עזר!$B$2:$B$289,MATCH($A19&amp;"|3",עזר!$D$2:$D$289,0)),"")</f>
        <v/>
      </c>
    </row>
    <row r="20" spans="1:9">
      <c r="A20" s="2" t="s">
        <v>534</v>
      </c>
      <c r="B20" s="7">
        <f>COUNTIF(עזר!$A$2:$A$289,$A20)</f>
        <v>3</v>
      </c>
      <c r="C20" s="7">
        <f>COUNTIFS(עזר!$A$2:$A$289,$A20,עזר!$E$2:$E$289,"בוקר")</f>
        <v>1</v>
      </c>
      <c r="D20" s="7">
        <f>COUNTIFS(עזר!$A$2:$A$289,$A20,עזר!$E$2:$E$289,"צהריים")</f>
        <v>2</v>
      </c>
      <c r="E20" s="7">
        <f>COUNTIFS(עזר!$A$2:$A$289,$A20,עזר!$F$2:$F$289,"הסעה")</f>
        <v>2</v>
      </c>
      <c r="F20" s="7">
        <f>COUNTIFS(עזר!$A$2:$A$289,$A20,עזר!$F$2:$F$289,"רכב")</f>
        <v>1</v>
      </c>
      <c r="G20" s="6">
        <f>IFERROR(INDEX(עזר!$B$2:$B$289,MATCH($A20&amp;"|1",עזר!$D$2:$D$289,0)),"")</f>
        <v>46269</v>
      </c>
      <c r="H20" s="6">
        <f>IFERROR(INDEX(עזר!$B$2:$B$289,MATCH($A20&amp;"|2",עזר!$D$2:$D$289,0)),"")</f>
        <v>46388</v>
      </c>
      <c r="I20" s="6">
        <f>IFERROR(INDEX(עזר!$B$2:$B$289,MATCH($A20&amp;"|3",עזר!$D$2:$D$289,0)),"")</f>
        <v>46472</v>
      </c>
    </row>
    <row r="21" spans="1:9">
      <c r="A21" s="2" t="s">
        <v>571</v>
      </c>
      <c r="B21" s="7">
        <f>COUNTIF(עזר!$A$2:$A$289,$A21)</f>
        <v>2</v>
      </c>
      <c r="C21" s="7">
        <f>COUNTIFS(עזר!$A$2:$A$289,$A21,עזר!$E$2:$E$289,"בוקר")</f>
        <v>1</v>
      </c>
      <c r="D21" s="7">
        <f>COUNTIFS(עזר!$A$2:$A$289,$A21,עזר!$E$2:$E$289,"צהריים")</f>
        <v>1</v>
      </c>
      <c r="E21" s="7">
        <f>COUNTIFS(עזר!$A$2:$A$289,$A21,עזר!$F$2:$F$289,"הסעה")</f>
        <v>1</v>
      </c>
      <c r="F21" s="7">
        <f>COUNTIFS(עזר!$A$2:$A$289,$A21,עזר!$F$2:$F$289,"רכב")</f>
        <v>1</v>
      </c>
      <c r="G21" s="6">
        <f>IFERROR(INDEX(עזר!$B$2:$B$289,MATCH($A21&amp;"|1",עזר!$D$2:$D$289,0)),"")</f>
        <v>46325</v>
      </c>
      <c r="H21" s="6">
        <f>IFERROR(INDEX(עזר!$B$2:$B$289,MATCH($A21&amp;"|2",עזר!$D$2:$D$289,0)),"")</f>
        <v>46486</v>
      </c>
      <c r="I21" s="6" t="str">
        <f>IFERROR(INDEX(עזר!$B$2:$B$289,MATCH($A21&amp;"|3",עזר!$D$2:$D$289,0)),"")</f>
        <v/>
      </c>
    </row>
    <row r="22" spans="1:9">
      <c r="A22" s="2" t="s">
        <v>564</v>
      </c>
      <c r="B22" s="7">
        <f>COUNTIF(עזר!$A$2:$A$289,$A22)</f>
        <v>3</v>
      </c>
      <c r="C22" s="7">
        <f>COUNTIFS(עזר!$A$2:$A$289,$A22,עזר!$E$2:$E$289,"בוקר")</f>
        <v>2</v>
      </c>
      <c r="D22" s="7">
        <f>COUNTIFS(עזר!$A$2:$A$289,$A22,עזר!$E$2:$E$289,"צהריים")</f>
        <v>1</v>
      </c>
      <c r="E22" s="7">
        <f>COUNTIFS(עזר!$A$2:$A$289,$A22,עזר!$F$2:$F$289,"הסעה")</f>
        <v>3</v>
      </c>
      <c r="F22" s="7">
        <f>COUNTIFS(עזר!$A$2:$A$289,$A22,עזר!$F$2:$F$289,"רכב")</f>
        <v>0</v>
      </c>
      <c r="G22" s="6">
        <f>IFERROR(INDEX(עזר!$B$2:$B$289,MATCH($A22&amp;"|1",עזר!$D$2:$D$289,0)),"")</f>
        <v>46318</v>
      </c>
      <c r="H22" s="6">
        <f>IFERROR(INDEX(עזר!$B$2:$B$289,MATCH($A22&amp;"|2",עזר!$D$2:$D$289,0)),"")</f>
        <v>46416</v>
      </c>
      <c r="I22" s="6">
        <f>IFERROR(INDEX(עזר!$B$2:$B$289,MATCH($A22&amp;"|3",עזר!$D$2:$D$289,0)),"")</f>
        <v>46528</v>
      </c>
    </row>
    <row r="23" spans="1:9">
      <c r="A23" s="2" t="s">
        <v>600</v>
      </c>
      <c r="B23" s="7">
        <f>COUNTIF(עזר!$A$2:$A$289,$A23)</f>
        <v>3</v>
      </c>
      <c r="C23" s="7">
        <f>COUNTIFS(עזר!$A$2:$A$289,$A23,עזר!$E$2:$E$289,"בוקר")</f>
        <v>2</v>
      </c>
      <c r="D23" s="7">
        <f>COUNTIFS(עזר!$A$2:$A$289,$A23,עזר!$E$2:$E$289,"צהריים")</f>
        <v>1</v>
      </c>
      <c r="E23" s="7">
        <f>COUNTIFS(עזר!$A$2:$A$289,$A23,עזר!$F$2:$F$289,"הסעה")</f>
        <v>2</v>
      </c>
      <c r="F23" s="7">
        <f>COUNTIFS(עזר!$A$2:$A$289,$A23,עזר!$F$2:$F$289,"רכב")</f>
        <v>1</v>
      </c>
      <c r="G23" s="6">
        <f>IFERROR(INDEX(עזר!$B$2:$B$289,MATCH($A23&amp;"|1",עזר!$D$2:$D$289,0)),"")</f>
        <v>46353</v>
      </c>
      <c r="H23" s="6">
        <f>IFERROR(INDEX(עזר!$B$2:$B$289,MATCH($A23&amp;"|2",עזר!$D$2:$D$289,0)),"")</f>
        <v>46451</v>
      </c>
      <c r="I23" s="6">
        <f>IFERROR(INDEX(עזר!$B$2:$B$289,MATCH($A23&amp;"|3",עזר!$D$2:$D$289,0)),"")</f>
        <v>46486</v>
      </c>
    </row>
    <row r="24" spans="1:9">
      <c r="A24" s="2" t="s">
        <v>626</v>
      </c>
      <c r="B24" s="7">
        <f>COUNTIF(עזר!$A$2:$A$289,$A24)</f>
        <v>3</v>
      </c>
      <c r="C24" s="7">
        <f>COUNTIFS(עזר!$A$2:$A$289,$A24,עזר!$E$2:$E$289,"בוקר")</f>
        <v>1</v>
      </c>
      <c r="D24" s="7">
        <f>COUNTIFS(עזר!$A$2:$A$289,$A24,עזר!$E$2:$E$289,"צהריים")</f>
        <v>2</v>
      </c>
      <c r="E24" s="7">
        <f>COUNTIFS(עזר!$A$2:$A$289,$A24,עזר!$F$2:$F$289,"הסעה")</f>
        <v>3</v>
      </c>
      <c r="F24" s="7">
        <f>COUNTIFS(עזר!$A$2:$A$289,$A24,עזר!$F$2:$F$289,"רכב")</f>
        <v>0</v>
      </c>
      <c r="G24" s="6">
        <f>IFERROR(INDEX(עזר!$B$2:$B$289,MATCH($A24&amp;"|1",עזר!$D$2:$D$289,0)),"")</f>
        <v>46423</v>
      </c>
      <c r="H24" s="6">
        <f>IFERROR(INDEX(עזר!$B$2:$B$289,MATCH($A24&amp;"|2",עזר!$D$2:$D$289,0)),"")</f>
        <v>46423</v>
      </c>
      <c r="I24" s="6">
        <f>IFERROR(INDEX(עזר!$B$2:$B$289,MATCH($A24&amp;"|3",עזר!$D$2:$D$289,0)),"")</f>
        <v>46528</v>
      </c>
    </row>
    <row r="25" spans="1:9">
      <c r="A25" s="2" t="s">
        <v>625</v>
      </c>
      <c r="B25" s="7">
        <f>COUNTIF(עזר!$A$2:$A$289,$A25)</f>
        <v>3</v>
      </c>
      <c r="C25" s="7">
        <f>COUNTIFS(עזר!$A$2:$A$289,$A25,עזר!$E$2:$E$289,"בוקר")</f>
        <v>1</v>
      </c>
      <c r="D25" s="7">
        <f>COUNTIFS(עזר!$A$2:$A$289,$A25,עזר!$E$2:$E$289,"צהריים")</f>
        <v>2</v>
      </c>
      <c r="E25" s="7">
        <f>COUNTIFS(עזר!$A$2:$A$289,$A25,עזר!$F$2:$F$289,"הסעה")</f>
        <v>1</v>
      </c>
      <c r="F25" s="7">
        <f>COUNTIFS(עזר!$A$2:$A$289,$A25,עזר!$F$2:$F$289,"רכב")</f>
        <v>2</v>
      </c>
      <c r="G25" s="6">
        <f>IFERROR(INDEX(עזר!$B$2:$B$289,MATCH($A25&amp;"|1",עזר!$D$2:$D$289,0)),"")</f>
        <v>46402</v>
      </c>
      <c r="H25" s="6">
        <f>IFERROR(INDEX(עזר!$B$2:$B$289,MATCH($A25&amp;"|2",עזר!$D$2:$D$289,0)),"")</f>
        <v>46486</v>
      </c>
      <c r="I25" s="6">
        <f>IFERROR(INDEX(עזר!$B$2:$B$289,MATCH($A25&amp;"|3",עזר!$D$2:$D$289,0)),"")</f>
        <v>46535</v>
      </c>
    </row>
    <row r="26" spans="1:9">
      <c r="A26" s="2" t="s">
        <v>567</v>
      </c>
      <c r="B26" s="7">
        <f>COUNTIF(עזר!$A$2:$A$289,$A26)</f>
        <v>3</v>
      </c>
      <c r="C26" s="7">
        <f>COUNTIFS(עזר!$A$2:$A$289,$A26,עזר!$E$2:$E$289,"בוקר")</f>
        <v>2</v>
      </c>
      <c r="D26" s="7">
        <f>COUNTIFS(עזר!$A$2:$A$289,$A26,עזר!$E$2:$E$289,"צהריים")</f>
        <v>1</v>
      </c>
      <c r="E26" s="7">
        <f>COUNTIFS(עזר!$A$2:$A$289,$A26,עזר!$F$2:$F$289,"הסעה")</f>
        <v>2</v>
      </c>
      <c r="F26" s="7">
        <f>COUNTIFS(עזר!$A$2:$A$289,$A26,עזר!$F$2:$F$289,"רכב")</f>
        <v>1</v>
      </c>
      <c r="G26" s="6">
        <f>IFERROR(INDEX(עזר!$B$2:$B$289,MATCH($A26&amp;"|1",עזר!$D$2:$D$289,0)),"")</f>
        <v>46318</v>
      </c>
      <c r="H26" s="6">
        <f>IFERROR(INDEX(עזר!$B$2:$B$289,MATCH($A26&amp;"|2",עזר!$D$2:$D$289,0)),"")</f>
        <v>46409</v>
      </c>
      <c r="I26" s="6">
        <f>IFERROR(INDEX(עזר!$B$2:$B$289,MATCH($A26&amp;"|3",עזר!$D$2:$D$289,0)),"")</f>
        <v>46528</v>
      </c>
    </row>
    <row r="27" spans="1:9">
      <c r="A27" s="2" t="s">
        <v>541</v>
      </c>
      <c r="B27" s="7">
        <f>COUNTIF(עזר!$A$2:$A$289,$A27)</f>
        <v>3</v>
      </c>
      <c r="C27" s="7">
        <f>COUNTIFS(עזר!$A$2:$A$289,$A27,עזר!$E$2:$E$289,"בוקר")</f>
        <v>2</v>
      </c>
      <c r="D27" s="7">
        <f>COUNTIFS(עזר!$A$2:$A$289,$A27,עזר!$E$2:$E$289,"צהריים")</f>
        <v>1</v>
      </c>
      <c r="E27" s="7">
        <f>COUNTIFS(עזר!$A$2:$A$289,$A27,עזר!$F$2:$F$289,"הסעה")</f>
        <v>2</v>
      </c>
      <c r="F27" s="7">
        <f>COUNTIFS(עזר!$A$2:$A$289,$A27,עזר!$F$2:$F$289,"רכב")</f>
        <v>1</v>
      </c>
      <c r="G27" s="6">
        <f>IFERROR(INDEX(עזר!$B$2:$B$289,MATCH($A27&amp;"|1",עזר!$D$2:$D$289,0)),"")</f>
        <v>46283</v>
      </c>
      <c r="H27" s="6">
        <f>IFERROR(INDEX(עזר!$B$2:$B$289,MATCH($A27&amp;"|2",עזר!$D$2:$D$289,0)),"")</f>
        <v>46395</v>
      </c>
      <c r="I27" s="6">
        <f>IFERROR(INDEX(עזר!$B$2:$B$289,MATCH($A27&amp;"|3",עזר!$D$2:$D$289,0)),"")</f>
        <v>46514</v>
      </c>
    </row>
    <row r="28" spans="1:9">
      <c r="A28" s="2" t="s">
        <v>545</v>
      </c>
      <c r="B28" s="7">
        <f>COUNTIF(עזר!$A$2:$A$289,$A28)</f>
        <v>3</v>
      </c>
      <c r="C28" s="7">
        <f>COUNTIFS(עזר!$A$2:$A$289,$A28,עזר!$E$2:$E$289,"בוקר")</f>
        <v>2</v>
      </c>
      <c r="D28" s="7">
        <f>COUNTIFS(עזר!$A$2:$A$289,$A28,עזר!$E$2:$E$289,"צהריים")</f>
        <v>1</v>
      </c>
      <c r="E28" s="7">
        <f>COUNTIFS(עזר!$A$2:$A$289,$A28,עזר!$F$2:$F$289,"הסעה")</f>
        <v>2</v>
      </c>
      <c r="F28" s="7">
        <f>COUNTIFS(עזר!$A$2:$A$289,$A28,עזר!$F$2:$F$289,"רכב")</f>
        <v>1</v>
      </c>
      <c r="G28" s="6">
        <f>IFERROR(INDEX(עזר!$B$2:$B$289,MATCH($A28&amp;"|1",עזר!$D$2:$D$289,0)),"")</f>
        <v>46304</v>
      </c>
      <c r="H28" s="6">
        <f>IFERROR(INDEX(עזר!$B$2:$B$289,MATCH($A28&amp;"|2",עזר!$D$2:$D$289,0)),"")</f>
        <v>46395</v>
      </c>
      <c r="I28" s="6">
        <f>IFERROR(INDEX(עזר!$B$2:$B$289,MATCH($A28&amp;"|3",עזר!$D$2:$D$289,0)),"")</f>
        <v>46472</v>
      </c>
    </row>
    <row r="29" spans="1:9">
      <c r="A29" s="2" t="s">
        <v>572</v>
      </c>
      <c r="B29" s="7">
        <f>COUNTIF(עזר!$A$2:$A$289,$A29)</f>
        <v>3</v>
      </c>
      <c r="C29" s="7">
        <f>COUNTIFS(עזר!$A$2:$A$289,$A29,עזר!$E$2:$E$289,"בוקר")</f>
        <v>1</v>
      </c>
      <c r="D29" s="7">
        <f>COUNTIFS(עזר!$A$2:$A$289,$A29,עזר!$E$2:$E$289,"צהריים")</f>
        <v>2</v>
      </c>
      <c r="E29" s="7">
        <f>COUNTIFS(עזר!$A$2:$A$289,$A29,עזר!$F$2:$F$289,"הסעה")</f>
        <v>2</v>
      </c>
      <c r="F29" s="7">
        <f>COUNTIFS(עזר!$A$2:$A$289,$A29,עזר!$F$2:$F$289,"רכב")</f>
        <v>1</v>
      </c>
      <c r="G29" s="6">
        <f>IFERROR(INDEX(עזר!$B$2:$B$289,MATCH($A29&amp;"|1",עזר!$D$2:$D$289,0)),"")</f>
        <v>46325</v>
      </c>
      <c r="H29" s="6">
        <f>IFERROR(INDEX(עזר!$B$2:$B$289,MATCH($A29&amp;"|2",עזר!$D$2:$D$289,0)),"")</f>
        <v>46416</v>
      </c>
      <c r="I29" s="6">
        <f>IFERROR(INDEX(עזר!$B$2:$B$289,MATCH($A29&amp;"|3",עזר!$D$2:$D$289,0)),"")</f>
        <v>46472</v>
      </c>
    </row>
    <row r="30" spans="1:9">
      <c r="A30" s="2" t="s">
        <v>560</v>
      </c>
      <c r="B30" s="7">
        <f>COUNTIF(עזר!$A$2:$A$289,$A30)</f>
        <v>3</v>
      </c>
      <c r="C30" s="7">
        <f>COUNTIFS(עזר!$A$2:$A$289,$A30,עזר!$E$2:$E$289,"בוקר")</f>
        <v>1</v>
      </c>
      <c r="D30" s="7">
        <f>COUNTIFS(עזר!$A$2:$A$289,$A30,עזר!$E$2:$E$289,"צהריים")</f>
        <v>2</v>
      </c>
      <c r="E30" s="7">
        <f>COUNTIFS(עזר!$A$2:$A$289,$A30,עזר!$F$2:$F$289,"הסעה")</f>
        <v>3</v>
      </c>
      <c r="F30" s="7">
        <f>COUNTIFS(עזר!$A$2:$A$289,$A30,עזר!$F$2:$F$289,"רכב")</f>
        <v>0</v>
      </c>
      <c r="G30" s="6">
        <f>IFERROR(INDEX(עזר!$B$2:$B$289,MATCH($A30&amp;"|1",עזר!$D$2:$D$289,0)),"")</f>
        <v>46318</v>
      </c>
      <c r="H30" s="6">
        <f>IFERROR(INDEX(עזר!$B$2:$B$289,MATCH($A30&amp;"|2",עזר!$D$2:$D$289,0)),"")</f>
        <v>46409</v>
      </c>
      <c r="I30" s="6">
        <f>IFERROR(INDEX(עזר!$B$2:$B$289,MATCH($A30&amp;"|3",עזר!$D$2:$D$289,0)),"")</f>
        <v>46521</v>
      </c>
    </row>
    <row r="31" spans="1:9">
      <c r="A31" s="2" t="s">
        <v>610</v>
      </c>
      <c r="B31" s="7">
        <f>COUNTIF(עזר!$A$2:$A$289,$A31)</f>
        <v>3</v>
      </c>
      <c r="C31" s="7">
        <f>COUNTIFS(עזר!$A$2:$A$289,$A31,עזר!$E$2:$E$289,"בוקר")</f>
        <v>1</v>
      </c>
      <c r="D31" s="7">
        <f>COUNTIFS(עזר!$A$2:$A$289,$A31,עזר!$E$2:$E$289,"צהריים")</f>
        <v>2</v>
      </c>
      <c r="E31" s="7">
        <f>COUNTIFS(עזר!$A$2:$A$289,$A31,עזר!$F$2:$F$289,"הסעה")</f>
        <v>2</v>
      </c>
      <c r="F31" s="7">
        <f>COUNTIFS(עזר!$A$2:$A$289,$A31,עזר!$F$2:$F$289,"רכב")</f>
        <v>1</v>
      </c>
      <c r="G31" s="6">
        <f>IFERROR(INDEX(עזר!$B$2:$B$289,MATCH($A31&amp;"|1",עזר!$D$2:$D$289,0)),"")</f>
        <v>46360</v>
      </c>
      <c r="H31" s="6">
        <f>IFERROR(INDEX(עזר!$B$2:$B$289,MATCH($A31&amp;"|2",עזר!$D$2:$D$289,0)),"")</f>
        <v>46451</v>
      </c>
      <c r="I31" s="6">
        <f>IFERROR(INDEX(עזר!$B$2:$B$289,MATCH($A31&amp;"|3",עזר!$D$2:$D$289,0)),"")</f>
        <v>46486</v>
      </c>
    </row>
    <row r="32" spans="1:9">
      <c r="A32" s="2" t="s">
        <v>574</v>
      </c>
      <c r="B32" s="7">
        <f>COUNTIF(עזר!$A$2:$A$289,$A32)</f>
        <v>3</v>
      </c>
      <c r="C32" s="7">
        <f>COUNTIFS(עזר!$A$2:$A$289,$A32,עזר!$E$2:$E$289,"בוקר")</f>
        <v>2</v>
      </c>
      <c r="D32" s="7">
        <f>COUNTIFS(עזר!$A$2:$A$289,$A32,עזר!$E$2:$E$289,"צהריים")</f>
        <v>1</v>
      </c>
      <c r="E32" s="7">
        <f>COUNTIFS(עזר!$A$2:$A$289,$A32,עזר!$F$2:$F$289,"הסעה")</f>
        <v>2</v>
      </c>
      <c r="F32" s="7">
        <f>COUNTIFS(עזר!$A$2:$A$289,$A32,עזר!$F$2:$F$289,"רכב")</f>
        <v>1</v>
      </c>
      <c r="G32" s="6">
        <f>IFERROR(INDEX(עזר!$B$2:$B$289,MATCH($A32&amp;"|1",עזר!$D$2:$D$289,0)),"")</f>
        <v>46325</v>
      </c>
      <c r="H32" s="6">
        <f>IFERROR(INDEX(עזר!$B$2:$B$289,MATCH($A32&amp;"|2",עזר!$D$2:$D$289,0)),"")</f>
        <v>46423</v>
      </c>
      <c r="I32" s="6">
        <f>IFERROR(INDEX(עזר!$B$2:$B$289,MATCH($A32&amp;"|3",עזר!$D$2:$D$289,0)),"")</f>
        <v>46535</v>
      </c>
    </row>
    <row r="33" spans="1:9">
      <c r="A33" s="2" t="s">
        <v>566</v>
      </c>
      <c r="B33" s="7">
        <f>COUNTIF(עזר!$A$2:$A$289,$A33)</f>
        <v>3</v>
      </c>
      <c r="C33" s="7">
        <f>COUNTIFS(עזר!$A$2:$A$289,$A33,עזר!$E$2:$E$289,"בוקר")</f>
        <v>2</v>
      </c>
      <c r="D33" s="7">
        <f>COUNTIFS(עזר!$A$2:$A$289,$A33,עזר!$E$2:$E$289,"צהריים")</f>
        <v>1</v>
      </c>
      <c r="E33" s="7">
        <f>COUNTIFS(עזר!$A$2:$A$289,$A33,עזר!$F$2:$F$289,"הסעה")</f>
        <v>3</v>
      </c>
      <c r="F33" s="7">
        <f>COUNTIFS(עזר!$A$2:$A$289,$A33,עזר!$F$2:$F$289,"רכב")</f>
        <v>0</v>
      </c>
      <c r="G33" s="6">
        <f>IFERROR(INDEX(עזר!$B$2:$B$289,MATCH($A33&amp;"|1",עזר!$D$2:$D$289,0)),"")</f>
        <v>46318</v>
      </c>
      <c r="H33" s="6">
        <f>IFERROR(INDEX(עזר!$B$2:$B$289,MATCH($A33&amp;"|2",עזר!$D$2:$D$289,0)),"")</f>
        <v>46402</v>
      </c>
      <c r="I33" s="6">
        <f>IFERROR(INDEX(עזר!$B$2:$B$289,MATCH($A33&amp;"|3",עזר!$D$2:$D$289,0)),"")</f>
        <v>46521</v>
      </c>
    </row>
    <row r="34" spans="1:9">
      <c r="A34" s="2" t="s">
        <v>589</v>
      </c>
      <c r="B34" s="7">
        <f>COUNTIF(עזר!$A$2:$A$289,$A34)</f>
        <v>3</v>
      </c>
      <c r="C34" s="7">
        <f>COUNTIFS(עזר!$A$2:$A$289,$A34,עזר!$E$2:$E$289,"בוקר")</f>
        <v>1</v>
      </c>
      <c r="D34" s="7">
        <f>COUNTIFS(עזר!$A$2:$A$289,$A34,עזר!$E$2:$E$289,"צהריים")</f>
        <v>2</v>
      </c>
      <c r="E34" s="7">
        <f>COUNTIFS(עזר!$A$2:$A$289,$A34,עזר!$F$2:$F$289,"הסעה")</f>
        <v>2</v>
      </c>
      <c r="F34" s="7">
        <f>COUNTIFS(עזר!$A$2:$A$289,$A34,עזר!$F$2:$F$289,"רכב")</f>
        <v>1</v>
      </c>
      <c r="G34" s="6">
        <f>IFERROR(INDEX(עזר!$B$2:$B$289,MATCH($A34&amp;"|1",עזר!$D$2:$D$289,0)),"")</f>
        <v>46346</v>
      </c>
      <c r="H34" s="6">
        <f>IFERROR(INDEX(עזר!$B$2:$B$289,MATCH($A34&amp;"|2",עזר!$D$2:$D$289,0)),"")</f>
        <v>46437</v>
      </c>
      <c r="I34" s="6">
        <f>IFERROR(INDEX(עזר!$B$2:$B$289,MATCH($A34&amp;"|3",עזר!$D$2:$D$289,0)),"")</f>
        <v>46542</v>
      </c>
    </row>
    <row r="35" spans="1:9">
      <c r="A35" s="2" t="s">
        <v>598</v>
      </c>
      <c r="B35" s="7">
        <f>COUNTIF(עזר!$A$2:$A$289,$A35)</f>
        <v>3</v>
      </c>
      <c r="C35" s="7">
        <f>COUNTIFS(עזר!$A$2:$A$289,$A35,עזר!$E$2:$E$289,"בוקר")</f>
        <v>2</v>
      </c>
      <c r="D35" s="7">
        <f>COUNTIFS(עזר!$A$2:$A$289,$A35,עזר!$E$2:$E$289,"צהריים")</f>
        <v>1</v>
      </c>
      <c r="E35" s="7">
        <f>COUNTIFS(עזר!$A$2:$A$289,$A35,עזר!$F$2:$F$289,"הסעה")</f>
        <v>2</v>
      </c>
      <c r="F35" s="7">
        <f>COUNTIFS(עזר!$A$2:$A$289,$A35,עזר!$F$2:$F$289,"רכב")</f>
        <v>1</v>
      </c>
      <c r="G35" s="6">
        <f>IFERROR(INDEX(עזר!$B$2:$B$289,MATCH($A35&amp;"|1",עזר!$D$2:$D$289,0)),"")</f>
        <v>46353</v>
      </c>
      <c r="H35" s="6">
        <f>IFERROR(INDEX(עזר!$B$2:$B$289,MATCH($A35&amp;"|2",עזר!$D$2:$D$289,0)),"")</f>
        <v>46423</v>
      </c>
      <c r="I35" s="6">
        <f>IFERROR(INDEX(עזר!$B$2:$B$289,MATCH($A35&amp;"|3",עזר!$D$2:$D$289,0)),"")</f>
        <v>46472</v>
      </c>
    </row>
    <row r="36" spans="1:9">
      <c r="A36" s="2" t="s">
        <v>573</v>
      </c>
      <c r="B36" s="7">
        <f>COUNTIF(עזר!$A$2:$A$289,$A36)</f>
        <v>3</v>
      </c>
      <c r="C36" s="7">
        <f>COUNTIFS(עזר!$A$2:$A$289,$A36,עזר!$E$2:$E$289,"בוקר")</f>
        <v>1</v>
      </c>
      <c r="D36" s="7">
        <f>COUNTIFS(עזר!$A$2:$A$289,$A36,עזר!$E$2:$E$289,"צהריים")</f>
        <v>2</v>
      </c>
      <c r="E36" s="7">
        <f>COUNTIFS(עזר!$A$2:$A$289,$A36,עזר!$F$2:$F$289,"הסעה")</f>
        <v>2</v>
      </c>
      <c r="F36" s="7">
        <f>COUNTIFS(עזר!$A$2:$A$289,$A36,עזר!$F$2:$F$289,"רכב")</f>
        <v>1</v>
      </c>
      <c r="G36" s="6">
        <f>IFERROR(INDEX(עזר!$B$2:$B$289,MATCH($A36&amp;"|1",עזר!$D$2:$D$289,0)),"")</f>
        <v>46325</v>
      </c>
      <c r="H36" s="6">
        <f>IFERROR(INDEX(עזר!$B$2:$B$289,MATCH($A36&amp;"|2",עזר!$D$2:$D$289,0)),"")</f>
        <v>46416</v>
      </c>
      <c r="I36" s="6">
        <f>IFERROR(INDEX(עזר!$B$2:$B$289,MATCH($A36&amp;"|3",עזר!$D$2:$D$289,0)),"")</f>
        <v>46528</v>
      </c>
    </row>
    <row r="37" spans="1:9">
      <c r="A37" s="2" t="s">
        <v>528</v>
      </c>
      <c r="B37" s="7">
        <f>COUNTIF(עזר!$A$2:$A$289,$A37)</f>
        <v>3</v>
      </c>
      <c r="C37" s="7">
        <f>COUNTIFS(עזר!$A$2:$A$289,$A37,עזר!$E$2:$E$289,"בוקר")</f>
        <v>2</v>
      </c>
      <c r="D37" s="7">
        <f>COUNTIFS(עזר!$A$2:$A$289,$A37,עזר!$E$2:$E$289,"צהריים")</f>
        <v>1</v>
      </c>
      <c r="E37" s="7">
        <f>COUNTIFS(עזר!$A$2:$A$289,$A37,עזר!$F$2:$F$289,"הסעה")</f>
        <v>3</v>
      </c>
      <c r="F37" s="7">
        <f>COUNTIFS(עזר!$A$2:$A$289,$A37,עזר!$F$2:$F$289,"רכב")</f>
        <v>0</v>
      </c>
      <c r="G37" s="6">
        <f>IFERROR(INDEX(עזר!$B$2:$B$289,MATCH($A37&amp;"|1",עזר!$D$2:$D$289,0)),"")</f>
        <v>46269</v>
      </c>
      <c r="H37" s="6">
        <f>IFERROR(INDEX(עזר!$B$2:$B$289,MATCH($A37&amp;"|2",עזר!$D$2:$D$289,0)),"")</f>
        <v>46423</v>
      </c>
      <c r="I37" s="6">
        <f>IFERROR(INDEX(עזר!$B$2:$B$289,MATCH($A37&amp;"|3",עזר!$D$2:$D$289,0)),"")</f>
        <v>46535</v>
      </c>
    </row>
    <row r="38" spans="1:9">
      <c r="A38" s="2" t="s">
        <v>553</v>
      </c>
      <c r="B38" s="7">
        <f>COUNTIF(עזר!$A$2:$A$289,$A38)</f>
        <v>3</v>
      </c>
      <c r="C38" s="7">
        <f>COUNTIFS(עזר!$A$2:$A$289,$A38,עזר!$E$2:$E$289,"בוקר")</f>
        <v>1</v>
      </c>
      <c r="D38" s="7">
        <f>COUNTIFS(עזר!$A$2:$A$289,$A38,עזר!$E$2:$E$289,"צהריים")</f>
        <v>2</v>
      </c>
      <c r="E38" s="7">
        <f>COUNTIFS(עזר!$A$2:$A$289,$A38,עזר!$F$2:$F$289,"הסעה")</f>
        <v>3</v>
      </c>
      <c r="F38" s="7">
        <f>COUNTIFS(עזר!$A$2:$A$289,$A38,עזר!$F$2:$F$289,"רכב")</f>
        <v>0</v>
      </c>
      <c r="G38" s="6">
        <f>IFERROR(INDEX(עזר!$B$2:$B$289,MATCH($A38&amp;"|1",עזר!$D$2:$D$289,0)),"")</f>
        <v>46311</v>
      </c>
      <c r="H38" s="6">
        <f>IFERROR(INDEX(עזר!$B$2:$B$289,MATCH($A38&amp;"|2",עזר!$D$2:$D$289,0)),"")</f>
        <v>46402</v>
      </c>
      <c r="I38" s="6">
        <f>IFERROR(INDEX(עזר!$B$2:$B$289,MATCH($A38&amp;"|3",עזר!$D$2:$D$289,0)),"")</f>
        <v>46514</v>
      </c>
    </row>
    <row r="39" spans="1:9">
      <c r="A39" s="2" t="s">
        <v>624</v>
      </c>
      <c r="B39" s="7">
        <f>COUNTIF(עזר!$A$2:$A$289,$A39)</f>
        <v>2</v>
      </c>
      <c r="C39" s="7">
        <f>COUNTIFS(עזר!$A$2:$A$289,$A39,עזר!$E$2:$E$289,"בוקר")</f>
        <v>1</v>
      </c>
      <c r="D39" s="7">
        <f>COUNTIFS(עזר!$A$2:$A$289,$A39,עזר!$E$2:$E$289,"צהריים")</f>
        <v>1</v>
      </c>
      <c r="E39" s="7">
        <f>COUNTIFS(עזר!$A$2:$A$289,$A39,עזר!$F$2:$F$289,"הסעה")</f>
        <v>1</v>
      </c>
      <c r="F39" s="7">
        <f>COUNTIFS(עזר!$A$2:$A$289,$A39,עזר!$F$2:$F$289,"רכב")</f>
        <v>1</v>
      </c>
      <c r="G39" s="6">
        <f>IFERROR(INDEX(עזר!$B$2:$B$289,MATCH($A39&amp;"|1",עזר!$D$2:$D$289,0)),"")</f>
        <v>46402</v>
      </c>
      <c r="H39" s="6">
        <f>IFERROR(INDEX(עזר!$B$2:$B$289,MATCH($A39&amp;"|2",עזר!$D$2:$D$289,0)),"")</f>
        <v>46444</v>
      </c>
      <c r="I39" s="6" t="str">
        <f>IFERROR(INDEX(עזר!$B$2:$B$289,MATCH($A39&amp;"|3",עזר!$D$2:$D$289,0)),"")</f>
        <v/>
      </c>
    </row>
    <row r="40" spans="1:9">
      <c r="A40" s="2" t="s">
        <v>543</v>
      </c>
      <c r="B40" s="7">
        <f>COUNTIF(עזר!$A$2:$A$289,$A40)</f>
        <v>2</v>
      </c>
      <c r="C40" s="7">
        <f>COUNTIFS(עזר!$A$2:$A$289,$A40,עזר!$E$2:$E$289,"בוקר")</f>
        <v>2</v>
      </c>
      <c r="D40" s="7">
        <f>COUNTIFS(עזר!$A$2:$A$289,$A40,עזר!$E$2:$E$289,"צהריים")</f>
        <v>0</v>
      </c>
      <c r="E40" s="7">
        <f>COUNTIFS(עזר!$A$2:$A$289,$A40,עזר!$F$2:$F$289,"הסעה")</f>
        <v>1</v>
      </c>
      <c r="F40" s="7">
        <f>COUNTIFS(עזר!$A$2:$A$289,$A40,עזר!$F$2:$F$289,"רכב")</f>
        <v>1</v>
      </c>
      <c r="G40" s="6">
        <f>IFERROR(INDEX(עזר!$B$2:$B$289,MATCH($A40&amp;"|1",עזר!$D$2:$D$289,0)),"")</f>
        <v>46388</v>
      </c>
      <c r="H40" s="6">
        <f>IFERROR(INDEX(עזר!$B$2:$B$289,MATCH($A40&amp;"|2",עזר!$D$2:$D$289,0)),"")</f>
        <v>46486</v>
      </c>
      <c r="I40" s="6" t="str">
        <f>IFERROR(INDEX(עזר!$B$2:$B$289,MATCH($A40&amp;"|3",עזר!$D$2:$D$289,0)),"")</f>
        <v/>
      </c>
    </row>
    <row r="41" spans="1:9">
      <c r="A41" s="2" t="s">
        <v>614</v>
      </c>
      <c r="B41" s="7">
        <f>COUNTIF(עזר!$A$2:$A$289,$A41)</f>
        <v>3</v>
      </c>
      <c r="C41" s="7">
        <f>COUNTIFS(עזר!$A$2:$A$289,$A41,עזר!$E$2:$E$289,"בוקר")</f>
        <v>1</v>
      </c>
      <c r="D41" s="7">
        <f>COUNTIFS(עזר!$A$2:$A$289,$A41,עזר!$E$2:$E$289,"צהריים")</f>
        <v>2</v>
      </c>
      <c r="E41" s="7">
        <f>COUNTIFS(עזר!$A$2:$A$289,$A41,עזר!$F$2:$F$289,"הסעה")</f>
        <v>2</v>
      </c>
      <c r="F41" s="7">
        <f>COUNTIFS(עזר!$A$2:$A$289,$A41,עזר!$F$2:$F$289,"רכב")</f>
        <v>1</v>
      </c>
      <c r="G41" s="6">
        <f>IFERROR(INDEX(עזר!$B$2:$B$289,MATCH($A41&amp;"|1",עזר!$D$2:$D$289,0)),"")</f>
        <v>46374</v>
      </c>
      <c r="H41" s="6">
        <f>IFERROR(INDEX(עזר!$B$2:$B$289,MATCH($A41&amp;"|2",עזר!$D$2:$D$289,0)),"")</f>
        <v>46458</v>
      </c>
      <c r="I41" s="6">
        <f>IFERROR(INDEX(עזר!$B$2:$B$289,MATCH($A41&amp;"|3",עזר!$D$2:$D$289,0)),"")</f>
        <v>46563</v>
      </c>
    </row>
    <row r="42" spans="1:9">
      <c r="A42" s="2" t="s">
        <v>582</v>
      </c>
      <c r="B42" s="7">
        <f>COUNTIF(עזר!$A$2:$A$289,$A42)</f>
        <v>3</v>
      </c>
      <c r="C42" s="7">
        <f>COUNTIFS(עזר!$A$2:$A$289,$A42,עזר!$E$2:$E$289,"בוקר")</f>
        <v>1</v>
      </c>
      <c r="D42" s="7">
        <f>COUNTIFS(עזר!$A$2:$A$289,$A42,עזר!$E$2:$E$289,"צהריים")</f>
        <v>2</v>
      </c>
      <c r="E42" s="7">
        <f>COUNTIFS(עזר!$A$2:$A$289,$A42,עזר!$F$2:$F$289,"הסעה")</f>
        <v>2</v>
      </c>
      <c r="F42" s="7">
        <f>COUNTIFS(עזר!$A$2:$A$289,$A42,עזר!$F$2:$F$289,"רכב")</f>
        <v>1</v>
      </c>
      <c r="G42" s="6">
        <f>IFERROR(INDEX(עזר!$B$2:$B$289,MATCH($A42&amp;"|1",עזר!$D$2:$D$289,0)),"")</f>
        <v>46332</v>
      </c>
      <c r="H42" s="6">
        <f>IFERROR(INDEX(עזר!$B$2:$B$289,MATCH($A42&amp;"|2",עזר!$D$2:$D$289,0)),"")</f>
        <v>46430</v>
      </c>
      <c r="I42" s="6">
        <f>IFERROR(INDEX(עזר!$B$2:$B$289,MATCH($A42&amp;"|3",עזר!$D$2:$D$289,0)),"")</f>
        <v>46542</v>
      </c>
    </row>
    <row r="43" spans="1:9">
      <c r="A43" s="2" t="s">
        <v>539</v>
      </c>
      <c r="B43" s="7">
        <f>COUNTIF(עזר!$A$2:$A$289,$A43)</f>
        <v>3</v>
      </c>
      <c r="C43" s="7">
        <f>COUNTIFS(עזר!$A$2:$A$289,$A43,עזר!$E$2:$E$289,"בוקר")</f>
        <v>2</v>
      </c>
      <c r="D43" s="7">
        <f>COUNTIFS(עזר!$A$2:$A$289,$A43,עזר!$E$2:$E$289,"צהריים")</f>
        <v>1</v>
      </c>
      <c r="E43" s="7">
        <f>COUNTIFS(עזר!$A$2:$A$289,$A43,עזר!$F$2:$F$289,"הסעה")</f>
        <v>2</v>
      </c>
      <c r="F43" s="7">
        <f>COUNTIFS(עזר!$A$2:$A$289,$A43,עזר!$F$2:$F$289,"רכב")</f>
        <v>1</v>
      </c>
      <c r="G43" s="6">
        <f>IFERROR(INDEX(עזר!$B$2:$B$289,MATCH($A43&amp;"|1",עזר!$D$2:$D$289,0)),"")</f>
        <v>46283</v>
      </c>
      <c r="H43" s="6">
        <f>IFERROR(INDEX(עזר!$B$2:$B$289,MATCH($A43&amp;"|2",עזר!$D$2:$D$289,0)),"")</f>
        <v>46388</v>
      </c>
      <c r="I43" s="6">
        <f>IFERROR(INDEX(עזר!$B$2:$B$289,MATCH($A43&amp;"|3",עזר!$D$2:$D$289,0)),"")</f>
        <v>46479</v>
      </c>
    </row>
    <row r="44" spans="1:9">
      <c r="A44" s="2" t="s">
        <v>570</v>
      </c>
      <c r="B44" s="7">
        <f>COUNTIF(עזר!$A$2:$A$289,$A44)</f>
        <v>3</v>
      </c>
      <c r="C44" s="7">
        <f>COUNTIFS(עזר!$A$2:$A$289,$A44,עזר!$E$2:$E$289,"בוקר")</f>
        <v>1</v>
      </c>
      <c r="D44" s="7">
        <f>COUNTIFS(עזר!$A$2:$A$289,$A44,עזר!$E$2:$E$289,"צהריים")</f>
        <v>2</v>
      </c>
      <c r="E44" s="7">
        <f>COUNTIFS(עזר!$A$2:$A$289,$A44,עזר!$F$2:$F$289,"הסעה")</f>
        <v>2</v>
      </c>
      <c r="F44" s="7">
        <f>COUNTIFS(עזר!$A$2:$A$289,$A44,עזר!$F$2:$F$289,"רכב")</f>
        <v>1</v>
      </c>
      <c r="G44" s="6">
        <f>IFERROR(INDEX(עזר!$B$2:$B$289,MATCH($A44&amp;"|1",עזר!$D$2:$D$289,0)),"")</f>
        <v>46283</v>
      </c>
      <c r="H44" s="6">
        <f>IFERROR(INDEX(עזר!$B$2:$B$289,MATCH($A44&amp;"|2",עזר!$D$2:$D$289,0)),"")</f>
        <v>46416</v>
      </c>
      <c r="I44" s="6">
        <f>IFERROR(INDEX(עזר!$B$2:$B$289,MATCH($A44&amp;"|3",עזר!$D$2:$D$289,0)),"")</f>
        <v>46528</v>
      </c>
    </row>
    <row r="45" spans="1:9">
      <c r="A45" s="2" t="s">
        <v>607</v>
      </c>
      <c r="B45" s="7">
        <f>COUNTIF(עזר!$A$2:$A$289,$A45)</f>
        <v>3</v>
      </c>
      <c r="C45" s="7">
        <f>COUNTIFS(עזר!$A$2:$A$289,$A45,עזר!$E$2:$E$289,"בוקר")</f>
        <v>2</v>
      </c>
      <c r="D45" s="7">
        <f>COUNTIFS(עזר!$A$2:$A$289,$A45,עזר!$E$2:$E$289,"צהריים")</f>
        <v>1</v>
      </c>
      <c r="E45" s="7">
        <f>COUNTIFS(עזר!$A$2:$A$289,$A45,עזר!$F$2:$F$289,"הסעה")</f>
        <v>2</v>
      </c>
      <c r="F45" s="7">
        <f>COUNTIFS(עזר!$A$2:$A$289,$A45,עזר!$F$2:$F$289,"רכב")</f>
        <v>1</v>
      </c>
      <c r="G45" s="6">
        <f>IFERROR(INDEX(עזר!$B$2:$B$289,MATCH($A45&amp;"|1",עזר!$D$2:$D$289,0)),"")</f>
        <v>46360</v>
      </c>
      <c r="H45" s="6">
        <f>IFERROR(INDEX(עזר!$B$2:$B$289,MATCH($A45&amp;"|2",עזר!$D$2:$D$289,0)),"")</f>
        <v>46451</v>
      </c>
      <c r="I45" s="6">
        <f>IFERROR(INDEX(עזר!$B$2:$B$289,MATCH($A45&amp;"|3",עזר!$D$2:$D$289,0)),"")</f>
        <v>46563</v>
      </c>
    </row>
    <row r="46" spans="1:9">
      <c r="A46" s="2" t="s">
        <v>584</v>
      </c>
      <c r="B46" s="7">
        <f>COUNTIF(עזר!$A$2:$A$289,$A46)</f>
        <v>3</v>
      </c>
      <c r="C46" s="7">
        <f>COUNTIFS(עזר!$A$2:$A$289,$A46,עזר!$E$2:$E$289,"בוקר")</f>
        <v>1</v>
      </c>
      <c r="D46" s="7">
        <f>COUNTIFS(עזר!$A$2:$A$289,$A46,עזר!$E$2:$E$289,"צהריים")</f>
        <v>2</v>
      </c>
      <c r="E46" s="7">
        <f>COUNTIFS(עזר!$A$2:$A$289,$A46,עזר!$F$2:$F$289,"הסעה")</f>
        <v>3</v>
      </c>
      <c r="F46" s="7">
        <f>COUNTIFS(עזר!$A$2:$A$289,$A46,עזר!$F$2:$F$289,"רכב")</f>
        <v>0</v>
      </c>
      <c r="G46" s="6">
        <f>IFERROR(INDEX(עזר!$B$2:$B$289,MATCH($A46&amp;"|1",עזר!$D$2:$D$289,0)),"")</f>
        <v>46339</v>
      </c>
      <c r="H46" s="6">
        <f>IFERROR(INDEX(עזר!$B$2:$B$289,MATCH($A46&amp;"|2",עזר!$D$2:$D$289,0)),"")</f>
        <v>46430</v>
      </c>
      <c r="I46" s="6">
        <f>IFERROR(INDEX(עזר!$B$2:$B$289,MATCH($A46&amp;"|3",עזר!$D$2:$D$289,0)),"")</f>
        <v>46535</v>
      </c>
    </row>
    <row r="47" spans="1:9">
      <c r="A47" s="2" t="s">
        <v>554</v>
      </c>
      <c r="B47" s="7">
        <f>COUNTIF(עזר!$A$2:$A$289,$A47)</f>
        <v>3</v>
      </c>
      <c r="C47" s="7">
        <f>COUNTIFS(עזר!$A$2:$A$289,$A47,עזר!$E$2:$E$289,"בוקר")</f>
        <v>1</v>
      </c>
      <c r="D47" s="7">
        <f>COUNTIFS(עזר!$A$2:$A$289,$A47,עזר!$E$2:$E$289,"צהריים")</f>
        <v>2</v>
      </c>
      <c r="E47" s="7">
        <f>COUNTIFS(עזר!$A$2:$A$289,$A47,עזר!$F$2:$F$289,"הסעה")</f>
        <v>3</v>
      </c>
      <c r="F47" s="7">
        <f>COUNTIFS(עזר!$A$2:$A$289,$A47,עזר!$F$2:$F$289,"רכב")</f>
        <v>0</v>
      </c>
      <c r="G47" s="6">
        <f>IFERROR(INDEX(עזר!$B$2:$B$289,MATCH($A47&amp;"|1",עזר!$D$2:$D$289,0)),"")</f>
        <v>46311</v>
      </c>
      <c r="H47" s="6">
        <f>IFERROR(INDEX(עזר!$B$2:$B$289,MATCH($A47&amp;"|2",עזר!$D$2:$D$289,0)),"")</f>
        <v>46402</v>
      </c>
      <c r="I47" s="6">
        <f>IFERROR(INDEX(עזר!$B$2:$B$289,MATCH($A47&amp;"|3",עזר!$D$2:$D$289,0)),"")</f>
        <v>46514</v>
      </c>
    </row>
    <row r="48" spans="1:9">
      <c r="A48" s="2" t="s">
        <v>612</v>
      </c>
      <c r="B48" s="7">
        <f>COUNTIF(עזר!$A$2:$A$289,$A48)</f>
        <v>3</v>
      </c>
      <c r="C48" s="7">
        <f>COUNTIFS(עזר!$A$2:$A$289,$A48,עזר!$E$2:$E$289,"בוקר")</f>
        <v>2</v>
      </c>
      <c r="D48" s="7">
        <f>COUNTIFS(עזר!$A$2:$A$289,$A48,עזר!$E$2:$E$289,"צהריים")</f>
        <v>1</v>
      </c>
      <c r="E48" s="7">
        <f>COUNTIFS(עזר!$A$2:$A$289,$A48,עזר!$F$2:$F$289,"הסעה")</f>
        <v>2</v>
      </c>
      <c r="F48" s="7">
        <f>COUNTIFS(עזר!$A$2:$A$289,$A48,עזר!$F$2:$F$289,"רכב")</f>
        <v>1</v>
      </c>
      <c r="G48" s="6">
        <f>IFERROR(INDEX(עזר!$B$2:$B$289,MATCH($A48&amp;"|1",עזר!$D$2:$D$289,0)),"")</f>
        <v>46374</v>
      </c>
      <c r="H48" s="6">
        <f>IFERROR(INDEX(עזר!$B$2:$B$289,MATCH($A48&amp;"|2",עזר!$D$2:$D$289,0)),"")</f>
        <v>46465</v>
      </c>
      <c r="I48" s="6">
        <f>IFERROR(INDEX(עזר!$B$2:$B$289,MATCH($A48&amp;"|3",עזר!$D$2:$D$289,0)),"")</f>
        <v>46507</v>
      </c>
    </row>
    <row r="49" spans="1:9">
      <c r="A49" s="2" t="s">
        <v>622</v>
      </c>
      <c r="B49" s="7">
        <f>COUNTIF(עזר!$A$2:$A$289,$A49)</f>
        <v>3</v>
      </c>
      <c r="C49" s="7">
        <f>COUNTIFS(עזר!$A$2:$A$289,$A49,עזר!$E$2:$E$289,"בוקר")</f>
        <v>2</v>
      </c>
      <c r="D49" s="7">
        <f>COUNTIFS(עזר!$A$2:$A$289,$A49,עזר!$E$2:$E$289,"צהריים")</f>
        <v>1</v>
      </c>
      <c r="E49" s="7">
        <f>COUNTIFS(עזר!$A$2:$A$289,$A49,עזר!$F$2:$F$289,"הסעה")</f>
        <v>2</v>
      </c>
      <c r="F49" s="7">
        <f>COUNTIFS(עזר!$A$2:$A$289,$A49,עזר!$F$2:$F$289,"רכב")</f>
        <v>1</v>
      </c>
      <c r="G49" s="6">
        <f>IFERROR(INDEX(עזר!$B$2:$B$289,MATCH($A49&amp;"|1",עזר!$D$2:$D$289,0)),"")</f>
        <v>46283</v>
      </c>
      <c r="H49" s="6">
        <f>IFERROR(INDEX(עזר!$B$2:$B$289,MATCH($A49&amp;"|2",עזר!$D$2:$D$289,0)),"")</f>
        <v>46409</v>
      </c>
      <c r="I49" s="6">
        <f>IFERROR(INDEX(עזר!$B$2:$B$289,MATCH($A49&amp;"|3",עזר!$D$2:$D$289,0)),"")</f>
        <v>46507</v>
      </c>
    </row>
    <row r="50" spans="1:9">
      <c r="A50" s="2" t="s">
        <v>578</v>
      </c>
      <c r="B50" s="7">
        <f>COUNTIF(עזר!$A$2:$A$289,$A50)</f>
        <v>3</v>
      </c>
      <c r="C50" s="7">
        <f>COUNTIFS(עזר!$A$2:$A$289,$A50,עזר!$E$2:$E$289,"בוקר")</f>
        <v>2</v>
      </c>
      <c r="D50" s="7">
        <f>COUNTIFS(עזר!$A$2:$A$289,$A50,עזר!$E$2:$E$289,"צהריים")</f>
        <v>1</v>
      </c>
      <c r="E50" s="7">
        <f>COUNTIFS(עזר!$A$2:$A$289,$A50,עזר!$F$2:$F$289,"הסעה")</f>
        <v>2</v>
      </c>
      <c r="F50" s="7">
        <f>COUNTIFS(עזר!$A$2:$A$289,$A50,עזר!$F$2:$F$289,"רכב")</f>
        <v>1</v>
      </c>
      <c r="G50" s="6">
        <f>IFERROR(INDEX(עזר!$B$2:$B$289,MATCH($A50&amp;"|1",עזר!$D$2:$D$289,0)),"")</f>
        <v>46332</v>
      </c>
      <c r="H50" s="6">
        <f>IFERROR(INDEX(עזר!$B$2:$B$289,MATCH($A50&amp;"|2",עזר!$D$2:$D$289,0)),"")</f>
        <v>46430</v>
      </c>
      <c r="I50" s="6">
        <f>IFERROR(INDEX(עזר!$B$2:$B$289,MATCH($A50&amp;"|3",עזר!$D$2:$D$289,0)),"")</f>
        <v>46479</v>
      </c>
    </row>
    <row r="51" spans="1:9">
      <c r="A51" s="2" t="s">
        <v>546</v>
      </c>
      <c r="B51" s="7">
        <f>COUNTIF(עזר!$A$2:$A$289,$A51)</f>
        <v>3</v>
      </c>
      <c r="C51" s="7">
        <f>COUNTIFS(עזר!$A$2:$A$289,$A51,עזר!$E$2:$E$289,"בוקר")</f>
        <v>2</v>
      </c>
      <c r="D51" s="7">
        <f>COUNTIFS(עזר!$A$2:$A$289,$A51,עזר!$E$2:$E$289,"צהריים")</f>
        <v>1</v>
      </c>
      <c r="E51" s="7">
        <f>COUNTIFS(עזר!$A$2:$A$289,$A51,עזר!$F$2:$F$289,"הסעה")</f>
        <v>2</v>
      </c>
      <c r="F51" s="7">
        <f>COUNTIFS(עזר!$A$2:$A$289,$A51,עזר!$F$2:$F$289,"רכב")</f>
        <v>1</v>
      </c>
      <c r="G51" s="6">
        <f>IFERROR(INDEX(עזר!$B$2:$B$289,MATCH($A51&amp;"|1",עזר!$D$2:$D$289,0)),"")</f>
        <v>46304</v>
      </c>
      <c r="H51" s="6">
        <f>IFERROR(INDEX(עזר!$B$2:$B$289,MATCH($A51&amp;"|2",עזר!$D$2:$D$289,0)),"")</f>
        <v>46395</v>
      </c>
      <c r="I51" s="6">
        <f>IFERROR(INDEX(עזר!$B$2:$B$289,MATCH($A51&amp;"|3",עזר!$D$2:$D$289,0)),"")</f>
        <v>46514</v>
      </c>
    </row>
    <row r="52" spans="1:9">
      <c r="A52" s="2" t="s">
        <v>593</v>
      </c>
      <c r="B52" s="7">
        <f>COUNTIF(עזר!$A$2:$A$289,$A52)</f>
        <v>3</v>
      </c>
      <c r="C52" s="7">
        <f>COUNTIFS(עזר!$A$2:$A$289,$A52,עזר!$E$2:$E$289,"בוקר")</f>
        <v>2</v>
      </c>
      <c r="D52" s="7">
        <f>COUNTIFS(עזר!$A$2:$A$289,$A52,עזר!$E$2:$E$289,"צהריים")</f>
        <v>1</v>
      </c>
      <c r="E52" s="7">
        <f>COUNTIFS(עזר!$A$2:$A$289,$A52,עזר!$F$2:$F$289,"הסעה")</f>
        <v>2</v>
      </c>
      <c r="F52" s="7">
        <f>COUNTIFS(עזר!$A$2:$A$289,$A52,עזר!$F$2:$F$289,"רכב")</f>
        <v>1</v>
      </c>
      <c r="G52" s="6">
        <f>IFERROR(INDEX(עזר!$B$2:$B$289,MATCH($A52&amp;"|1",עזר!$D$2:$D$289,0)),"")</f>
        <v>46346</v>
      </c>
      <c r="H52" s="6">
        <f>IFERROR(INDEX(עזר!$B$2:$B$289,MATCH($A52&amp;"|2",עזר!$D$2:$D$289,0)),"")</f>
        <v>46437</v>
      </c>
      <c r="I52" s="6">
        <f>IFERROR(INDEX(עזר!$B$2:$B$289,MATCH($A52&amp;"|3",עזר!$D$2:$D$289,0)),"")</f>
        <v>46542</v>
      </c>
    </row>
    <row r="53" spans="1:9">
      <c r="A53" s="2" t="s">
        <v>628</v>
      </c>
      <c r="B53" s="7">
        <f>COUNTIF(עזר!$A$2:$A$289,$A53)</f>
        <v>2</v>
      </c>
      <c r="C53" s="7">
        <f>COUNTIFS(עזר!$A$2:$A$289,$A53,עזר!$E$2:$E$289,"בוקר")</f>
        <v>1</v>
      </c>
      <c r="D53" s="7">
        <f>COUNTIFS(עזר!$A$2:$A$289,$A53,עזר!$E$2:$E$289,"צהריים")</f>
        <v>1</v>
      </c>
      <c r="E53" s="7">
        <f>COUNTIFS(עזר!$A$2:$A$289,$A53,עזר!$F$2:$F$289,"הסעה")</f>
        <v>1</v>
      </c>
      <c r="F53" s="7">
        <f>COUNTIFS(עזר!$A$2:$A$289,$A53,עזר!$F$2:$F$289,"רכב")</f>
        <v>1</v>
      </c>
      <c r="G53" s="6">
        <f>IFERROR(INDEX(עזר!$B$2:$B$289,MATCH($A53&amp;"|1",עזר!$D$2:$D$289,0)),"")</f>
        <v>46458</v>
      </c>
      <c r="H53" s="6">
        <f>IFERROR(INDEX(עזר!$B$2:$B$289,MATCH($A53&amp;"|2",עזר!$D$2:$D$289,0)),"")</f>
        <v>46486</v>
      </c>
      <c r="I53" s="6" t="str">
        <f>IFERROR(INDEX(עזר!$B$2:$B$289,MATCH($A53&amp;"|3",עזר!$D$2:$D$289,0)),"")</f>
        <v/>
      </c>
    </row>
    <row r="54" spans="1:9">
      <c r="A54" s="2" t="s">
        <v>608</v>
      </c>
      <c r="B54" s="7">
        <f>COUNTIF(עזר!$A$2:$A$289,$A54)</f>
        <v>3</v>
      </c>
      <c r="C54" s="7">
        <f>COUNTIFS(עזר!$A$2:$A$289,$A54,עזר!$E$2:$E$289,"בוקר")</f>
        <v>2</v>
      </c>
      <c r="D54" s="7">
        <f>COUNTIFS(עזר!$A$2:$A$289,$A54,עזר!$E$2:$E$289,"צהריים")</f>
        <v>1</v>
      </c>
      <c r="E54" s="7">
        <f>COUNTIFS(עזר!$A$2:$A$289,$A54,עזר!$F$2:$F$289,"הסעה")</f>
        <v>2</v>
      </c>
      <c r="F54" s="7">
        <f>COUNTIFS(עזר!$A$2:$A$289,$A54,עזר!$F$2:$F$289,"רכב")</f>
        <v>1</v>
      </c>
      <c r="G54" s="6">
        <f>IFERROR(INDEX(עזר!$B$2:$B$289,MATCH($A54&amp;"|1",עזר!$D$2:$D$289,0)),"")</f>
        <v>46360</v>
      </c>
      <c r="H54" s="6">
        <f>IFERROR(INDEX(עזר!$B$2:$B$289,MATCH($A54&amp;"|2",עזר!$D$2:$D$289,0)),"")</f>
        <v>46458</v>
      </c>
      <c r="I54" s="6">
        <f>IFERROR(INDEX(עזר!$B$2:$B$289,MATCH($A54&amp;"|3",עזר!$D$2:$D$289,0)),"")</f>
        <v>46563</v>
      </c>
    </row>
    <row r="55" spans="1:9">
      <c r="A55" s="2" t="s">
        <v>562</v>
      </c>
      <c r="B55" s="7">
        <f>COUNTIF(עזר!$A$2:$A$289,$A55)</f>
        <v>3</v>
      </c>
      <c r="C55" s="7">
        <f>COUNTIFS(עזר!$A$2:$A$289,$A55,עזר!$E$2:$E$289,"בוקר")</f>
        <v>2</v>
      </c>
      <c r="D55" s="7">
        <f>COUNTIFS(עזר!$A$2:$A$289,$A55,עזר!$E$2:$E$289,"צהריים")</f>
        <v>1</v>
      </c>
      <c r="E55" s="7">
        <f>COUNTIFS(עזר!$A$2:$A$289,$A55,עזר!$F$2:$F$289,"הסעה")</f>
        <v>2</v>
      </c>
      <c r="F55" s="7">
        <f>COUNTIFS(עזר!$A$2:$A$289,$A55,עזר!$F$2:$F$289,"רכב")</f>
        <v>1</v>
      </c>
      <c r="G55" s="6">
        <f>IFERROR(INDEX(עזר!$B$2:$B$289,MATCH($A55&amp;"|1",עזר!$D$2:$D$289,0)),"")</f>
        <v>46318</v>
      </c>
      <c r="H55" s="6">
        <f>IFERROR(INDEX(עזר!$B$2:$B$289,MATCH($A55&amp;"|2",עזר!$D$2:$D$289,0)),"")</f>
        <v>46409</v>
      </c>
      <c r="I55" s="6">
        <f>IFERROR(INDEX(עזר!$B$2:$B$289,MATCH($A55&amp;"|3",עזר!$D$2:$D$289,0)),"")</f>
        <v>46521</v>
      </c>
    </row>
    <row r="56" spans="1:9">
      <c r="A56" s="2" t="s">
        <v>536</v>
      </c>
      <c r="B56" s="7">
        <f>COUNTIF(עזר!$A$2:$A$289,$A56)</f>
        <v>3</v>
      </c>
      <c r="C56" s="7">
        <f>COUNTIFS(עזר!$A$2:$A$289,$A56,עזר!$E$2:$E$289,"בוקר")</f>
        <v>1</v>
      </c>
      <c r="D56" s="7">
        <f>COUNTIFS(עזר!$A$2:$A$289,$A56,עזר!$E$2:$E$289,"צהריים")</f>
        <v>2</v>
      </c>
      <c r="E56" s="7">
        <f>COUNTIFS(עזר!$A$2:$A$289,$A56,עזר!$F$2:$F$289,"הסעה")</f>
        <v>2</v>
      </c>
      <c r="F56" s="7">
        <f>COUNTIFS(עזר!$A$2:$A$289,$A56,עזר!$F$2:$F$289,"רכב")</f>
        <v>1</v>
      </c>
      <c r="G56" s="6">
        <f>IFERROR(INDEX(עזר!$B$2:$B$289,MATCH($A56&amp;"|1",עזר!$D$2:$D$289,0)),"")</f>
        <v>46269</v>
      </c>
      <c r="H56" s="6">
        <f>IFERROR(INDEX(עזר!$B$2:$B$289,MATCH($A56&amp;"|2",עזר!$D$2:$D$289,0)),"")</f>
        <v>46388</v>
      </c>
      <c r="I56" s="6">
        <f>IFERROR(INDEX(עזר!$B$2:$B$289,MATCH($A56&amp;"|3",עזר!$D$2:$D$289,0)),"")</f>
        <v>46472</v>
      </c>
    </row>
    <row r="57" spans="1:9">
      <c r="A57" s="2" t="s">
        <v>587</v>
      </c>
      <c r="B57" s="7">
        <f>COUNTIF(עזר!$A$2:$A$289,$A57)</f>
        <v>3</v>
      </c>
      <c r="C57" s="7">
        <f>COUNTIFS(עזר!$A$2:$A$289,$A57,עזר!$E$2:$E$289,"בוקר")</f>
        <v>1</v>
      </c>
      <c r="D57" s="7">
        <f>COUNTIFS(עזר!$A$2:$A$289,$A57,עזר!$E$2:$E$289,"צהריים")</f>
        <v>2</v>
      </c>
      <c r="E57" s="7">
        <f>COUNTIFS(עזר!$A$2:$A$289,$A57,עזר!$F$2:$F$289,"הסעה")</f>
        <v>2</v>
      </c>
      <c r="F57" s="7">
        <f>COUNTIFS(עזר!$A$2:$A$289,$A57,עזר!$F$2:$F$289,"רכב")</f>
        <v>1</v>
      </c>
      <c r="G57" s="6">
        <f>IFERROR(INDEX(עזר!$B$2:$B$289,MATCH($A57&amp;"|1",עזר!$D$2:$D$289,0)),"")</f>
        <v>46339</v>
      </c>
      <c r="H57" s="6">
        <f>IFERROR(INDEX(עזר!$B$2:$B$289,MATCH($A57&amp;"|2",עזר!$D$2:$D$289,0)),"")</f>
        <v>46430</v>
      </c>
      <c r="I57" s="6">
        <f>IFERROR(INDEX(עזר!$B$2:$B$289,MATCH($A57&amp;"|3",עזר!$D$2:$D$289,0)),"")</f>
        <v>46479</v>
      </c>
    </row>
    <row r="58" spans="1:9">
      <c r="A58" s="2" t="s">
        <v>542</v>
      </c>
      <c r="B58" s="7">
        <f>COUNTIF(עזר!$A$2:$A$289,$A58)</f>
        <v>2</v>
      </c>
      <c r="C58" s="7">
        <f>COUNTIFS(עזר!$A$2:$A$289,$A58,עזר!$E$2:$E$289,"בוקר")</f>
        <v>1</v>
      </c>
      <c r="D58" s="7">
        <f>COUNTIFS(עזר!$A$2:$A$289,$A58,עזר!$E$2:$E$289,"צהריים")</f>
        <v>1</v>
      </c>
      <c r="E58" s="7">
        <f>COUNTIFS(עזר!$A$2:$A$289,$A58,עזר!$F$2:$F$289,"הסעה")</f>
        <v>1</v>
      </c>
      <c r="F58" s="7">
        <f>COUNTIFS(עזר!$A$2:$A$289,$A58,עזר!$F$2:$F$289,"רכב")</f>
        <v>1</v>
      </c>
      <c r="G58" s="6">
        <f>IFERROR(INDEX(עזר!$B$2:$B$289,MATCH($A58&amp;"|1",עזר!$D$2:$D$289,0)),"")</f>
        <v>46395</v>
      </c>
      <c r="H58" s="6">
        <f>IFERROR(INDEX(עזר!$B$2:$B$289,MATCH($A58&amp;"|2",עזר!$D$2:$D$289,0)),"")</f>
        <v>46507</v>
      </c>
      <c r="I58" s="6" t="str">
        <f>IFERROR(INDEX(עזר!$B$2:$B$289,MATCH($A58&amp;"|3",עזר!$D$2:$D$289,0)),"")</f>
        <v/>
      </c>
    </row>
    <row r="59" spans="1:9">
      <c r="A59" s="2" t="s">
        <v>597</v>
      </c>
      <c r="B59" s="7">
        <f>COUNTIF(עזר!$A$2:$A$289,$A59)</f>
        <v>3</v>
      </c>
      <c r="C59" s="7">
        <f>COUNTIFS(עזר!$A$2:$A$289,$A59,עזר!$E$2:$E$289,"בוקר")</f>
        <v>2</v>
      </c>
      <c r="D59" s="7">
        <f>COUNTIFS(עזר!$A$2:$A$289,$A59,עזר!$E$2:$E$289,"צהריים")</f>
        <v>1</v>
      </c>
      <c r="E59" s="7">
        <f>COUNTIFS(עזר!$A$2:$A$289,$A59,עזר!$F$2:$F$289,"הסעה")</f>
        <v>3</v>
      </c>
      <c r="F59" s="7">
        <f>COUNTIFS(עזר!$A$2:$A$289,$A59,עזר!$F$2:$F$289,"רכב")</f>
        <v>0</v>
      </c>
      <c r="G59" s="6">
        <f>IFERROR(INDEX(עזר!$B$2:$B$289,MATCH($A59&amp;"|1",עזר!$D$2:$D$289,0)),"")</f>
        <v>46353</v>
      </c>
      <c r="H59" s="6">
        <f>IFERROR(INDEX(עזר!$B$2:$B$289,MATCH($A59&amp;"|2",עזר!$D$2:$D$289,0)),"")</f>
        <v>46437</v>
      </c>
      <c r="I59" s="6">
        <f>IFERROR(INDEX(עזר!$B$2:$B$289,MATCH($A59&amp;"|3",עזר!$D$2:$D$289,0)),"")</f>
        <v>46542</v>
      </c>
    </row>
    <row r="60" spans="1:9">
      <c r="A60" s="2" t="s">
        <v>529</v>
      </c>
      <c r="B60" s="7">
        <f>COUNTIF(עזר!$A$2:$A$289,$A60)</f>
        <v>3</v>
      </c>
      <c r="C60" s="7">
        <f>COUNTIFS(עזר!$A$2:$A$289,$A60,עזר!$E$2:$E$289,"בוקר")</f>
        <v>2</v>
      </c>
      <c r="D60" s="7">
        <f>COUNTIFS(עזר!$A$2:$A$289,$A60,עזר!$E$2:$E$289,"צהריים")</f>
        <v>1</v>
      </c>
      <c r="E60" s="7">
        <f>COUNTIFS(עזר!$A$2:$A$289,$A60,עזר!$F$2:$F$289,"הסעה")</f>
        <v>2</v>
      </c>
      <c r="F60" s="7">
        <f>COUNTIFS(עזר!$A$2:$A$289,$A60,עזר!$F$2:$F$289,"רכב")</f>
        <v>1</v>
      </c>
      <c r="G60" s="6">
        <f>IFERROR(INDEX(עזר!$B$2:$B$289,MATCH($A60&amp;"|1",עזר!$D$2:$D$289,0)),"")</f>
        <v>46269</v>
      </c>
      <c r="H60" s="6">
        <f>IFERROR(INDEX(עזר!$B$2:$B$289,MATCH($A60&amp;"|2",עזר!$D$2:$D$289,0)),"")</f>
        <v>46388</v>
      </c>
      <c r="I60" s="6">
        <f>IFERROR(INDEX(עזר!$B$2:$B$289,MATCH($A60&amp;"|3",עזר!$D$2:$D$289,0)),"")</f>
        <v>46472</v>
      </c>
    </row>
    <row r="61" spans="1:9">
      <c r="A61" s="2" t="s">
        <v>575</v>
      </c>
      <c r="B61" s="7">
        <f>COUNTIF(עזר!$A$2:$A$289,$A61)</f>
        <v>3</v>
      </c>
      <c r="C61" s="7">
        <f>COUNTIFS(עזר!$A$2:$A$289,$A61,עזר!$E$2:$E$289,"בוקר")</f>
        <v>1</v>
      </c>
      <c r="D61" s="7">
        <f>COUNTIFS(עזר!$A$2:$A$289,$A61,עזר!$E$2:$E$289,"צהריים")</f>
        <v>2</v>
      </c>
      <c r="E61" s="7">
        <f>COUNTIFS(עזר!$A$2:$A$289,$A61,עזר!$F$2:$F$289,"הסעה")</f>
        <v>2</v>
      </c>
      <c r="F61" s="7">
        <f>COUNTIFS(עזר!$A$2:$A$289,$A61,עזר!$F$2:$F$289,"רכב")</f>
        <v>1</v>
      </c>
      <c r="G61" s="6">
        <f>IFERROR(INDEX(עזר!$B$2:$B$289,MATCH($A61&amp;"|1",עזר!$D$2:$D$289,0)),"")</f>
        <v>46325</v>
      </c>
      <c r="H61" s="6">
        <f>IFERROR(INDEX(עזר!$B$2:$B$289,MATCH($A61&amp;"|2",עזר!$D$2:$D$289,0)),"")</f>
        <v>46416</v>
      </c>
      <c r="I61" s="6">
        <f>IFERROR(INDEX(עזר!$B$2:$B$289,MATCH($A61&amp;"|3",עזר!$D$2:$D$289,0)),"")</f>
        <v>46465</v>
      </c>
    </row>
    <row r="62" spans="1:9">
      <c r="A62" s="2" t="s">
        <v>547</v>
      </c>
      <c r="B62" s="7">
        <f>COUNTIF(עזר!$A$2:$A$289,$A62)</f>
        <v>3</v>
      </c>
      <c r="C62" s="7">
        <f>COUNTIFS(עזר!$A$2:$A$289,$A62,עזר!$E$2:$E$289,"בוקר")</f>
        <v>2</v>
      </c>
      <c r="D62" s="7">
        <f>COUNTIFS(עזר!$A$2:$A$289,$A62,עזר!$E$2:$E$289,"צהריים")</f>
        <v>1</v>
      </c>
      <c r="E62" s="7">
        <f>COUNTIFS(עזר!$A$2:$A$289,$A62,עזר!$F$2:$F$289,"הסעה")</f>
        <v>2</v>
      </c>
      <c r="F62" s="7">
        <f>COUNTIFS(עזר!$A$2:$A$289,$A62,עזר!$F$2:$F$289,"רכב")</f>
        <v>1</v>
      </c>
      <c r="G62" s="6">
        <f>IFERROR(INDEX(עזר!$B$2:$B$289,MATCH($A62&amp;"|1",עזר!$D$2:$D$289,0)),"")</f>
        <v>46304</v>
      </c>
      <c r="H62" s="6">
        <f>IFERROR(INDEX(עזר!$B$2:$B$289,MATCH($A62&amp;"|2",עזר!$D$2:$D$289,0)),"")</f>
        <v>46395</v>
      </c>
      <c r="I62" s="6">
        <f>IFERROR(INDEX(עזר!$B$2:$B$289,MATCH($A62&amp;"|3",עזר!$D$2:$D$289,0)),"")</f>
        <v>46507</v>
      </c>
    </row>
    <row r="63" spans="1:9">
      <c r="A63" s="2" t="s">
        <v>615</v>
      </c>
      <c r="B63" s="7">
        <f>COUNTIF(עזר!$A$2:$A$289,$A63)</f>
        <v>3</v>
      </c>
      <c r="C63" s="7">
        <f>COUNTIFS(עזר!$A$2:$A$289,$A63,עזר!$E$2:$E$289,"בוקר")</f>
        <v>1</v>
      </c>
      <c r="D63" s="7">
        <f>COUNTIFS(עזר!$A$2:$A$289,$A63,עזר!$E$2:$E$289,"צהריים")</f>
        <v>2</v>
      </c>
      <c r="E63" s="7">
        <f>COUNTIFS(עזר!$A$2:$A$289,$A63,עזר!$F$2:$F$289,"הסעה")</f>
        <v>2</v>
      </c>
      <c r="F63" s="7">
        <f>COUNTIFS(עזר!$A$2:$A$289,$A63,עזר!$F$2:$F$289,"רכב")</f>
        <v>1</v>
      </c>
      <c r="G63" s="6">
        <f>IFERROR(INDEX(עזר!$B$2:$B$289,MATCH($A63&amp;"|1",עזר!$D$2:$D$289,0)),"")</f>
        <v>46374</v>
      </c>
      <c r="H63" s="6">
        <f>IFERROR(INDEX(עזר!$B$2:$B$289,MATCH($A63&amp;"|2",עזר!$D$2:$D$289,0)),"")</f>
        <v>46458</v>
      </c>
      <c r="I63" s="6">
        <f>IFERROR(INDEX(עזר!$B$2:$B$289,MATCH($A63&amp;"|3",עזר!$D$2:$D$289,0)),"")</f>
        <v>46563</v>
      </c>
    </row>
    <row r="64" spans="1:9">
      <c r="A64" s="2" t="s">
        <v>556</v>
      </c>
      <c r="B64" s="7">
        <f>COUNTIF(עזר!$A$2:$A$289,$A64)</f>
        <v>3</v>
      </c>
      <c r="C64" s="7">
        <f>COUNTIFS(עזר!$A$2:$A$289,$A64,עזר!$E$2:$E$289,"בוקר")</f>
        <v>2</v>
      </c>
      <c r="D64" s="7">
        <f>COUNTIFS(עזר!$A$2:$A$289,$A64,עזר!$E$2:$E$289,"צהריים")</f>
        <v>1</v>
      </c>
      <c r="E64" s="7">
        <f>COUNTIFS(עזר!$A$2:$A$289,$A64,עזר!$F$2:$F$289,"הסעה")</f>
        <v>3</v>
      </c>
      <c r="F64" s="7">
        <f>COUNTIFS(עזר!$A$2:$A$289,$A64,עזר!$F$2:$F$289,"רכב")</f>
        <v>0</v>
      </c>
      <c r="G64" s="6">
        <f>IFERROR(INDEX(עזר!$B$2:$B$289,MATCH($A64&amp;"|1",עזר!$D$2:$D$289,0)),"")</f>
        <v>46311</v>
      </c>
      <c r="H64" s="6">
        <f>IFERROR(INDEX(עזר!$B$2:$B$289,MATCH($A64&amp;"|2",עזר!$D$2:$D$289,0)),"")</f>
        <v>46409</v>
      </c>
      <c r="I64" s="6">
        <f>IFERROR(INDEX(עזר!$B$2:$B$289,MATCH($A64&amp;"|3",עזר!$D$2:$D$289,0)),"")</f>
        <v>46521</v>
      </c>
    </row>
    <row r="65" spans="1:9">
      <c r="A65" s="2" t="s">
        <v>577</v>
      </c>
      <c r="B65" s="7">
        <f>COUNTIF(עזר!$A$2:$A$289,$A65)</f>
        <v>2</v>
      </c>
      <c r="C65" s="7">
        <f>COUNTIFS(עזר!$A$2:$A$289,$A65,עזר!$E$2:$E$289,"בוקר")</f>
        <v>1</v>
      </c>
      <c r="D65" s="7">
        <f>COUNTIFS(עזר!$A$2:$A$289,$A65,עזר!$E$2:$E$289,"צהריים")</f>
        <v>1</v>
      </c>
      <c r="E65" s="7">
        <f>COUNTIFS(עזר!$A$2:$A$289,$A65,עזר!$F$2:$F$289,"הסעה")</f>
        <v>2</v>
      </c>
      <c r="F65" s="7">
        <f>COUNTIFS(עזר!$A$2:$A$289,$A65,עזר!$F$2:$F$289,"רכב")</f>
        <v>0</v>
      </c>
      <c r="G65" s="6">
        <f>IFERROR(INDEX(עזר!$B$2:$B$289,MATCH($A65&amp;"|1",עזר!$D$2:$D$289,0)),"")</f>
        <v>46332</v>
      </c>
      <c r="H65" s="6">
        <f>IFERROR(INDEX(עזר!$B$2:$B$289,MATCH($A65&amp;"|2",עזר!$D$2:$D$289,0)),"")</f>
        <v>46332</v>
      </c>
      <c r="I65" s="6" t="str">
        <f>IFERROR(INDEX(עזר!$B$2:$B$289,MATCH($A65&amp;"|3",עזר!$D$2:$D$289,0)),"")</f>
        <v/>
      </c>
    </row>
    <row r="66" spans="1:9">
      <c r="A66" s="2" t="s">
        <v>585</v>
      </c>
      <c r="B66" s="7">
        <f>COUNTIF(עזר!$A$2:$A$289,$A66)</f>
        <v>3</v>
      </c>
      <c r="C66" s="7">
        <f>COUNTIFS(עזר!$A$2:$A$289,$A66,עזר!$E$2:$E$289,"בוקר")</f>
        <v>2</v>
      </c>
      <c r="D66" s="7">
        <f>COUNTIFS(עזר!$A$2:$A$289,$A66,עזר!$E$2:$E$289,"צהריים")</f>
        <v>1</v>
      </c>
      <c r="E66" s="7">
        <f>COUNTIFS(עזר!$A$2:$A$289,$A66,עזר!$F$2:$F$289,"הסעה")</f>
        <v>2</v>
      </c>
      <c r="F66" s="7">
        <f>COUNTIFS(עזר!$A$2:$A$289,$A66,עזר!$F$2:$F$289,"רכב")</f>
        <v>1</v>
      </c>
      <c r="G66" s="6">
        <f>IFERROR(INDEX(עזר!$B$2:$B$289,MATCH($A66&amp;"|1",עזר!$D$2:$D$289,0)),"")</f>
        <v>46339</v>
      </c>
      <c r="H66" s="6">
        <f>IFERROR(INDEX(עזר!$B$2:$B$289,MATCH($A66&amp;"|2",עזר!$D$2:$D$289,0)),"")</f>
        <v>46430</v>
      </c>
      <c r="I66" s="6">
        <f>IFERROR(INDEX(עזר!$B$2:$B$289,MATCH($A66&amp;"|3",עזר!$D$2:$D$289,0)),"")</f>
        <v>46542</v>
      </c>
    </row>
    <row r="67" spans="1:9">
      <c r="A67" s="2" t="s">
        <v>602</v>
      </c>
      <c r="B67" s="7">
        <f>COUNTIF(עזר!$A$2:$A$289,$A67)</f>
        <v>3</v>
      </c>
      <c r="C67" s="7">
        <f>COUNTIFS(עזר!$A$2:$A$289,$A67,עזר!$E$2:$E$289,"בוקר")</f>
        <v>1</v>
      </c>
      <c r="D67" s="7">
        <f>COUNTIFS(עזר!$A$2:$A$289,$A67,עזר!$E$2:$E$289,"צהריים")</f>
        <v>2</v>
      </c>
      <c r="E67" s="7">
        <f>COUNTIFS(עזר!$A$2:$A$289,$A67,עזר!$F$2:$F$289,"הסעה")</f>
        <v>2</v>
      </c>
      <c r="F67" s="7">
        <f>COUNTIFS(עזר!$A$2:$A$289,$A67,עזר!$F$2:$F$289,"רכב")</f>
        <v>1</v>
      </c>
      <c r="G67" s="6">
        <f>IFERROR(INDEX(עזר!$B$2:$B$289,MATCH($A67&amp;"|1",עזר!$D$2:$D$289,0)),"")</f>
        <v>46353</v>
      </c>
      <c r="H67" s="6">
        <f>IFERROR(INDEX(עזר!$B$2:$B$289,MATCH($A67&amp;"|2",עזר!$D$2:$D$289,0)),"")</f>
        <v>46451</v>
      </c>
      <c r="I67" s="6">
        <f>IFERROR(INDEX(עזר!$B$2:$B$289,MATCH($A67&amp;"|3",עזר!$D$2:$D$289,0)),"")</f>
        <v>46556</v>
      </c>
    </row>
    <row r="68" spans="1:9">
      <c r="A68" s="2" t="s">
        <v>613</v>
      </c>
      <c r="B68" s="7">
        <f>COUNTIF(עזר!$A$2:$A$289,$A68)</f>
        <v>3</v>
      </c>
      <c r="C68" s="7">
        <f>COUNTIFS(עזר!$A$2:$A$289,$A68,עזר!$E$2:$E$289,"בוקר")</f>
        <v>1</v>
      </c>
      <c r="D68" s="7">
        <f>COUNTIFS(עזר!$A$2:$A$289,$A68,עזר!$E$2:$E$289,"צהריים")</f>
        <v>2</v>
      </c>
      <c r="E68" s="7">
        <f>COUNTIFS(עזר!$A$2:$A$289,$A68,עזר!$F$2:$F$289,"הסעה")</f>
        <v>3</v>
      </c>
      <c r="F68" s="7">
        <f>COUNTIFS(עזר!$A$2:$A$289,$A68,עזר!$F$2:$F$289,"רכב")</f>
        <v>0</v>
      </c>
      <c r="G68" s="6">
        <f>IFERROR(INDEX(עזר!$B$2:$B$289,MATCH($A68&amp;"|1",עזר!$D$2:$D$289,0)),"")</f>
        <v>46374</v>
      </c>
      <c r="H68" s="6">
        <f>IFERROR(INDEX(עזר!$B$2:$B$289,MATCH($A68&amp;"|2",עזר!$D$2:$D$289,0)),"")</f>
        <v>46458</v>
      </c>
      <c r="I68" s="6">
        <f>IFERROR(INDEX(עזר!$B$2:$B$289,MATCH($A68&amp;"|3",עזר!$D$2:$D$289,0)),"")</f>
        <v>46521</v>
      </c>
    </row>
    <row r="69" spans="1:9">
      <c r="A69" s="2" t="s">
        <v>565</v>
      </c>
      <c r="B69" s="7">
        <f>COUNTIF(עזר!$A$2:$A$289,$A69)</f>
        <v>3</v>
      </c>
      <c r="C69" s="7">
        <f>COUNTIFS(עזר!$A$2:$A$289,$A69,עזר!$E$2:$E$289,"בוקר")</f>
        <v>1</v>
      </c>
      <c r="D69" s="7">
        <f>COUNTIFS(עזר!$A$2:$A$289,$A69,עזר!$E$2:$E$289,"צהריים")</f>
        <v>2</v>
      </c>
      <c r="E69" s="7">
        <f>COUNTIFS(עזר!$A$2:$A$289,$A69,עזר!$F$2:$F$289,"הסעה")</f>
        <v>2</v>
      </c>
      <c r="F69" s="7">
        <f>COUNTIFS(עזר!$A$2:$A$289,$A69,עזר!$F$2:$F$289,"רכב")</f>
        <v>1</v>
      </c>
      <c r="G69" s="6">
        <f>IFERROR(INDEX(עזר!$B$2:$B$289,MATCH($A69&amp;"|1",עזר!$D$2:$D$289,0)),"")</f>
        <v>46318</v>
      </c>
      <c r="H69" s="6">
        <f>IFERROR(INDEX(עזר!$B$2:$B$289,MATCH($A69&amp;"|2",עזר!$D$2:$D$289,0)),"")</f>
        <v>46409</v>
      </c>
      <c r="I69" s="6">
        <f>IFERROR(INDEX(עזר!$B$2:$B$289,MATCH($A69&amp;"|3",עזר!$D$2:$D$289,0)),"")</f>
        <v>46507</v>
      </c>
    </row>
    <row r="70" spans="1:9">
      <c r="A70" s="2" t="s">
        <v>620</v>
      </c>
      <c r="B70" s="7">
        <f>COUNTIF(עזר!$A$2:$A$289,$A70)</f>
        <v>3</v>
      </c>
      <c r="C70" s="7">
        <f>COUNTIFS(עזר!$A$2:$A$289,$A70,עזר!$E$2:$E$289,"בוקר")</f>
        <v>2</v>
      </c>
      <c r="D70" s="7">
        <f>COUNTIFS(עזר!$A$2:$A$289,$A70,עזר!$E$2:$E$289,"צהריים")</f>
        <v>1</v>
      </c>
      <c r="E70" s="7">
        <f>COUNTIFS(עזר!$A$2:$A$289,$A70,עזר!$F$2:$F$289,"הסעה")</f>
        <v>3</v>
      </c>
      <c r="F70" s="7">
        <f>COUNTIFS(עזר!$A$2:$A$289,$A70,עזר!$F$2:$F$289,"רכב")</f>
        <v>0</v>
      </c>
      <c r="G70" s="6">
        <f>IFERROR(INDEX(עזר!$B$2:$B$289,MATCH($A70&amp;"|1",עזר!$D$2:$D$289,0)),"")</f>
        <v>46381</v>
      </c>
      <c r="H70" s="6">
        <f>IFERROR(INDEX(עזר!$B$2:$B$289,MATCH($A70&amp;"|2",עזר!$D$2:$D$289,0)),"")</f>
        <v>46465</v>
      </c>
      <c r="I70" s="6">
        <f>IFERROR(INDEX(עזר!$B$2:$B$289,MATCH($A70&amp;"|3",עזר!$D$2:$D$289,0)),"")</f>
        <v>46535</v>
      </c>
    </row>
    <row r="71" spans="1:9">
      <c r="A71" s="2" t="s">
        <v>535</v>
      </c>
      <c r="B71" s="7">
        <f>COUNTIF(עזר!$A$2:$A$289,$A71)</f>
        <v>3</v>
      </c>
      <c r="C71" s="7">
        <f>COUNTIFS(עזר!$A$2:$A$289,$A71,עזר!$E$2:$E$289,"בוקר")</f>
        <v>1</v>
      </c>
      <c r="D71" s="7">
        <f>COUNTIFS(עזר!$A$2:$A$289,$A71,עזר!$E$2:$E$289,"צהריים")</f>
        <v>2</v>
      </c>
      <c r="E71" s="7">
        <f>COUNTIFS(עזר!$A$2:$A$289,$A71,עזר!$F$2:$F$289,"הסעה")</f>
        <v>2</v>
      </c>
      <c r="F71" s="7">
        <f>COUNTIFS(עזר!$A$2:$A$289,$A71,עזר!$F$2:$F$289,"רכב")</f>
        <v>1</v>
      </c>
      <c r="G71" s="6">
        <f>IFERROR(INDEX(עזר!$B$2:$B$289,MATCH($A71&amp;"|1",עזר!$D$2:$D$289,0)),"")</f>
        <v>46269</v>
      </c>
      <c r="H71" s="6">
        <f>IFERROR(INDEX(עזר!$B$2:$B$289,MATCH($A71&amp;"|2",עזר!$D$2:$D$289,0)),"")</f>
        <v>46388</v>
      </c>
      <c r="I71" s="6">
        <f>IFERROR(INDEX(עזר!$B$2:$B$289,MATCH($A71&amp;"|3",עזר!$D$2:$D$289,0)),"")</f>
        <v>46479</v>
      </c>
    </row>
    <row r="72" spans="1:9">
      <c r="A72" s="2" t="s">
        <v>619</v>
      </c>
      <c r="B72" s="7">
        <f>COUNTIF(עזר!$A$2:$A$289,$A72)</f>
        <v>3</v>
      </c>
      <c r="C72" s="7">
        <f>COUNTIFS(עזר!$A$2:$A$289,$A72,עזר!$E$2:$E$289,"בוקר")</f>
        <v>2</v>
      </c>
      <c r="D72" s="7">
        <f>COUNTIFS(עזר!$A$2:$A$289,$A72,עזר!$E$2:$E$289,"צהריים")</f>
        <v>1</v>
      </c>
      <c r="E72" s="7">
        <f>COUNTIFS(עזר!$A$2:$A$289,$A72,עזר!$F$2:$F$289,"הסעה")</f>
        <v>3</v>
      </c>
      <c r="F72" s="7">
        <f>COUNTIFS(עזר!$A$2:$A$289,$A72,עזר!$F$2:$F$289,"רכב")</f>
        <v>0</v>
      </c>
      <c r="G72" s="6">
        <f>IFERROR(INDEX(עזר!$B$2:$B$289,MATCH($A72&amp;"|1",עזר!$D$2:$D$289,0)),"")</f>
        <v>46381</v>
      </c>
      <c r="H72" s="6">
        <f>IFERROR(INDEX(עזר!$B$2:$B$289,MATCH($A72&amp;"|2",עזר!$D$2:$D$289,0)),"")</f>
        <v>46465</v>
      </c>
      <c r="I72" s="6">
        <f>IFERROR(INDEX(עזר!$B$2:$B$289,MATCH($A72&amp;"|3",עזר!$D$2:$D$289,0)),"")</f>
        <v>46535</v>
      </c>
    </row>
    <row r="73" spans="1:9">
      <c r="A73" s="2" t="s">
        <v>606</v>
      </c>
      <c r="B73" s="7">
        <f>COUNTIF(עזר!$A$2:$A$289,$A73)</f>
        <v>3</v>
      </c>
      <c r="C73" s="7">
        <f>COUNTIFS(עזר!$A$2:$A$289,$A73,עזר!$E$2:$E$289,"בוקר")</f>
        <v>1</v>
      </c>
      <c r="D73" s="7">
        <f>COUNTIFS(עזר!$A$2:$A$289,$A73,עזר!$E$2:$E$289,"צהריים")</f>
        <v>2</v>
      </c>
      <c r="E73" s="7">
        <f>COUNTIFS(עזר!$A$2:$A$289,$A73,עזר!$F$2:$F$289,"הסעה")</f>
        <v>3</v>
      </c>
      <c r="F73" s="7">
        <f>COUNTIFS(עזר!$A$2:$A$289,$A73,עזר!$F$2:$F$289,"רכב")</f>
        <v>0</v>
      </c>
      <c r="G73" s="6">
        <f>IFERROR(INDEX(עזר!$B$2:$B$289,MATCH($A73&amp;"|1",עזר!$D$2:$D$289,0)),"")</f>
        <v>46360</v>
      </c>
      <c r="H73" s="6">
        <f>IFERROR(INDEX(עזר!$B$2:$B$289,MATCH($A73&amp;"|2",עזר!$D$2:$D$289,0)),"")</f>
        <v>46451</v>
      </c>
      <c r="I73" s="6">
        <f>IFERROR(INDEX(עזר!$B$2:$B$289,MATCH($A73&amp;"|3",עזר!$D$2:$D$289,0)),"")</f>
        <v>46556</v>
      </c>
    </row>
    <row r="74" spans="1:9">
      <c r="A74" s="2" t="s">
        <v>531</v>
      </c>
      <c r="B74" s="7">
        <f>COUNTIF(עזר!$A$2:$A$289,$A74)</f>
        <v>3</v>
      </c>
      <c r="C74" s="7">
        <f>COUNTIFS(עזר!$A$2:$A$289,$A74,עזר!$E$2:$E$289,"בוקר")</f>
        <v>2</v>
      </c>
      <c r="D74" s="7">
        <f>COUNTIFS(עזר!$A$2:$A$289,$A74,עזר!$E$2:$E$289,"צהריים")</f>
        <v>1</v>
      </c>
      <c r="E74" s="7">
        <f>COUNTIFS(עזר!$A$2:$A$289,$A74,עזר!$F$2:$F$289,"הסעה")</f>
        <v>2</v>
      </c>
      <c r="F74" s="7">
        <f>COUNTIFS(עזר!$A$2:$A$289,$A74,עזר!$F$2:$F$289,"רכב")</f>
        <v>1</v>
      </c>
      <c r="G74" s="6">
        <f>IFERROR(INDEX(עזר!$B$2:$B$289,MATCH($A74&amp;"|1",עזר!$D$2:$D$289,0)),"")</f>
        <v>46269</v>
      </c>
      <c r="H74" s="6">
        <f>IFERROR(INDEX(עזר!$B$2:$B$289,MATCH($A74&amp;"|2",עזר!$D$2:$D$289,0)),"")</f>
        <v>46311</v>
      </c>
      <c r="I74" s="6">
        <f>IFERROR(INDEX(עזר!$B$2:$B$289,MATCH($A74&amp;"|3",עזר!$D$2:$D$289,0)),"")</f>
        <v>46479</v>
      </c>
    </row>
    <row r="75" spans="1:9">
      <c r="A75" s="2" t="s">
        <v>559</v>
      </c>
      <c r="B75" s="7">
        <f>COUNTIF(עזר!$A$2:$A$289,$A75)</f>
        <v>3</v>
      </c>
      <c r="C75" s="7">
        <f>COUNTIFS(עזר!$A$2:$A$289,$A75,עזר!$E$2:$E$289,"בוקר")</f>
        <v>2</v>
      </c>
      <c r="D75" s="7">
        <f>COUNTIFS(עזר!$A$2:$A$289,$A75,עזר!$E$2:$E$289,"צהריים")</f>
        <v>1</v>
      </c>
      <c r="E75" s="7">
        <f>COUNTIFS(עזר!$A$2:$A$289,$A75,עזר!$F$2:$F$289,"הסעה")</f>
        <v>2</v>
      </c>
      <c r="F75" s="7">
        <f>COUNTIFS(עזר!$A$2:$A$289,$A75,עזר!$F$2:$F$289,"רכב")</f>
        <v>1</v>
      </c>
      <c r="G75" s="6">
        <f>IFERROR(INDEX(עזר!$B$2:$B$289,MATCH($A75&amp;"|1",עזר!$D$2:$D$289,0)),"")</f>
        <v>46311</v>
      </c>
      <c r="H75" s="6">
        <f>IFERROR(INDEX(עזר!$B$2:$B$289,MATCH($A75&amp;"|2",עזר!$D$2:$D$289,0)),"")</f>
        <v>46409</v>
      </c>
      <c r="I75" s="6">
        <f>IFERROR(INDEX(עזר!$B$2:$B$289,MATCH($A75&amp;"|3",עזר!$D$2:$D$289,0)),"")</f>
        <v>46528</v>
      </c>
    </row>
    <row r="76" spans="1:9">
      <c r="A76" s="2" t="s">
        <v>549</v>
      </c>
      <c r="B76" s="7">
        <f>COUNTIF(עזר!$A$2:$A$289,$A76)</f>
        <v>3</v>
      </c>
      <c r="C76" s="7">
        <f>COUNTIFS(עזר!$A$2:$A$289,$A76,עזר!$E$2:$E$289,"בוקר")</f>
        <v>1</v>
      </c>
      <c r="D76" s="7">
        <f>COUNTIFS(עזר!$A$2:$A$289,$A76,עזר!$E$2:$E$289,"צהריים")</f>
        <v>2</v>
      </c>
      <c r="E76" s="7">
        <f>COUNTIFS(עזר!$A$2:$A$289,$A76,עזר!$F$2:$F$289,"הסעה")</f>
        <v>2</v>
      </c>
      <c r="F76" s="7">
        <f>COUNTIFS(עזר!$A$2:$A$289,$A76,עזר!$F$2:$F$289,"רכב")</f>
        <v>1</v>
      </c>
      <c r="G76" s="6">
        <f>IFERROR(INDEX(עזר!$B$2:$B$289,MATCH($A76&amp;"|1",עזר!$D$2:$D$289,0)),"")</f>
        <v>46304</v>
      </c>
      <c r="H76" s="6">
        <f>IFERROR(INDEX(עזר!$B$2:$B$289,MATCH($A76&amp;"|2",עזר!$D$2:$D$289,0)),"")</f>
        <v>46402</v>
      </c>
      <c r="I76" s="6">
        <f>IFERROR(INDEX(עזר!$B$2:$B$289,MATCH($A76&amp;"|3",עזר!$D$2:$D$289,0)),"")</f>
        <v>46514</v>
      </c>
    </row>
    <row r="77" spans="1:9">
      <c r="A77" s="2" t="s">
        <v>540</v>
      </c>
      <c r="B77" s="7">
        <f>COUNTIF(עזר!$A$2:$A$289,$A77)</f>
        <v>3</v>
      </c>
      <c r="C77" s="7">
        <f>COUNTIFS(עזר!$A$2:$A$289,$A77,עזר!$E$2:$E$289,"בוקר")</f>
        <v>2</v>
      </c>
      <c r="D77" s="7">
        <f>COUNTIFS(עזר!$A$2:$A$289,$A77,עזר!$E$2:$E$289,"צהריים")</f>
        <v>1</v>
      </c>
      <c r="E77" s="7">
        <f>COUNTIFS(עזר!$A$2:$A$289,$A77,עזר!$F$2:$F$289,"הסעה")</f>
        <v>2</v>
      </c>
      <c r="F77" s="7">
        <f>COUNTIFS(עזר!$A$2:$A$289,$A77,עזר!$F$2:$F$289,"רכב")</f>
        <v>1</v>
      </c>
      <c r="G77" s="6">
        <f>IFERROR(INDEX(עזר!$B$2:$B$289,MATCH($A77&amp;"|1",עזר!$D$2:$D$289,0)),"")</f>
        <v>46283</v>
      </c>
      <c r="H77" s="6">
        <f>IFERROR(INDEX(עזר!$B$2:$B$289,MATCH($A77&amp;"|2",עזר!$D$2:$D$289,0)),"")</f>
        <v>46360</v>
      </c>
      <c r="I77" s="6">
        <f>IFERROR(INDEX(עזר!$B$2:$B$289,MATCH($A77&amp;"|3",עזר!$D$2:$D$289,0)),"")</f>
        <v>46507</v>
      </c>
    </row>
    <row r="78" spans="1:9">
      <c r="A78" s="2" t="s">
        <v>551</v>
      </c>
      <c r="B78" s="7">
        <f>COUNTIF(עזר!$A$2:$A$289,$A78)</f>
        <v>3</v>
      </c>
      <c r="C78" s="7">
        <f>COUNTIFS(עזר!$A$2:$A$289,$A78,עזר!$E$2:$E$289,"בוקר")</f>
        <v>1</v>
      </c>
      <c r="D78" s="7">
        <f>COUNTIFS(עזר!$A$2:$A$289,$A78,עזר!$E$2:$E$289,"צהריים")</f>
        <v>2</v>
      </c>
      <c r="E78" s="7">
        <f>COUNTIFS(עזר!$A$2:$A$289,$A78,עזר!$F$2:$F$289,"הסעה")</f>
        <v>2</v>
      </c>
      <c r="F78" s="7">
        <f>COUNTIFS(עזר!$A$2:$A$289,$A78,עזר!$F$2:$F$289,"רכב")</f>
        <v>1</v>
      </c>
      <c r="G78" s="6">
        <f>IFERROR(INDEX(עזר!$B$2:$B$289,MATCH($A78&amp;"|1",עזר!$D$2:$D$289,0)),"")</f>
        <v>46304</v>
      </c>
      <c r="H78" s="6">
        <f>IFERROR(INDEX(עזר!$B$2:$B$289,MATCH($A78&amp;"|2",עזר!$D$2:$D$289,0)),"")</f>
        <v>46416</v>
      </c>
      <c r="I78" s="6">
        <f>IFERROR(INDEX(עזר!$B$2:$B$289,MATCH($A78&amp;"|3",עזר!$D$2:$D$289,0)),"")</f>
        <v>46528</v>
      </c>
    </row>
    <row r="79" spans="1:9">
      <c r="A79" s="2" t="s">
        <v>592</v>
      </c>
      <c r="B79" s="7">
        <f>COUNTIF(עזר!$A$2:$A$289,$A79)</f>
        <v>3</v>
      </c>
      <c r="C79" s="7">
        <f>COUNTIFS(עזר!$A$2:$A$289,$A79,עזר!$E$2:$E$289,"בוקר")</f>
        <v>1</v>
      </c>
      <c r="D79" s="7">
        <f>COUNTIFS(עזר!$A$2:$A$289,$A79,עזר!$E$2:$E$289,"צהריים")</f>
        <v>2</v>
      </c>
      <c r="E79" s="7">
        <f>COUNTIFS(עזר!$A$2:$A$289,$A79,עזר!$F$2:$F$289,"הסעה")</f>
        <v>2</v>
      </c>
      <c r="F79" s="7">
        <f>COUNTIFS(עזר!$A$2:$A$289,$A79,עזר!$F$2:$F$289,"רכב")</f>
        <v>1</v>
      </c>
      <c r="G79" s="6">
        <f>IFERROR(INDEX(עזר!$B$2:$B$289,MATCH($A79&amp;"|1",עזר!$D$2:$D$289,0)),"")</f>
        <v>46346</v>
      </c>
      <c r="H79" s="6">
        <f>IFERROR(INDEX(עזר!$B$2:$B$289,MATCH($A79&amp;"|2",עזר!$D$2:$D$289,0)),"")</f>
        <v>46444</v>
      </c>
      <c r="I79" s="6">
        <f>IFERROR(INDEX(עזר!$B$2:$B$289,MATCH($A79&amp;"|3",עזר!$D$2:$D$289,0)),"")</f>
        <v>46563</v>
      </c>
    </row>
    <row r="80" spans="1:9">
      <c r="A80" s="2" t="s">
        <v>568</v>
      </c>
      <c r="B80" s="7">
        <f>COUNTIF(עזר!$A$2:$A$289,$A80)</f>
        <v>3</v>
      </c>
      <c r="C80" s="7">
        <f>COUNTIFS(עזר!$A$2:$A$289,$A80,עזר!$E$2:$E$289,"בוקר")</f>
        <v>2</v>
      </c>
      <c r="D80" s="7">
        <f>COUNTIFS(עזר!$A$2:$A$289,$A80,עזר!$E$2:$E$289,"צהריים")</f>
        <v>1</v>
      </c>
      <c r="E80" s="7">
        <f>COUNTIFS(עזר!$A$2:$A$289,$A80,עזר!$F$2:$F$289,"הסעה")</f>
        <v>2</v>
      </c>
      <c r="F80" s="7">
        <f>COUNTIFS(עזר!$A$2:$A$289,$A80,עזר!$F$2:$F$289,"רכב")</f>
        <v>1</v>
      </c>
      <c r="G80" s="6">
        <f>IFERROR(INDEX(עזר!$B$2:$B$289,MATCH($A80&amp;"|1",עזר!$D$2:$D$289,0)),"")</f>
        <v>46325</v>
      </c>
      <c r="H80" s="6">
        <f>IFERROR(INDEX(עזר!$B$2:$B$289,MATCH($A80&amp;"|2",עזר!$D$2:$D$289,0)),"")</f>
        <v>46423</v>
      </c>
      <c r="I80" s="6">
        <f>IFERROR(INDEX(עזר!$B$2:$B$289,MATCH($A80&amp;"|3",עזר!$D$2:$D$289,0)),"")</f>
        <v>46486</v>
      </c>
    </row>
    <row r="81" spans="1:9">
      <c r="A81" s="2" t="s">
        <v>552</v>
      </c>
      <c r="B81" s="7">
        <f>COUNTIF(עזר!$A$2:$A$289,$A81)</f>
        <v>3</v>
      </c>
      <c r="C81" s="7">
        <f>COUNTIFS(עזר!$A$2:$A$289,$A81,עזר!$E$2:$E$289,"בוקר")</f>
        <v>2</v>
      </c>
      <c r="D81" s="7">
        <f>COUNTIFS(עזר!$A$2:$A$289,$A81,עזר!$E$2:$E$289,"צהריים")</f>
        <v>1</v>
      </c>
      <c r="E81" s="7">
        <f>COUNTIFS(עזר!$A$2:$A$289,$A81,עזר!$F$2:$F$289,"הסעה")</f>
        <v>2</v>
      </c>
      <c r="F81" s="7">
        <f>COUNTIFS(עזר!$A$2:$A$289,$A81,עזר!$F$2:$F$289,"רכב")</f>
        <v>1</v>
      </c>
      <c r="G81" s="6">
        <f>IFERROR(INDEX(עזר!$B$2:$B$289,MATCH($A81&amp;"|1",עזר!$D$2:$D$289,0)),"")</f>
        <v>46304</v>
      </c>
      <c r="H81" s="6">
        <f>IFERROR(INDEX(עזר!$B$2:$B$289,MATCH($A81&amp;"|2",עזר!$D$2:$D$289,0)),"")</f>
        <v>46402</v>
      </c>
      <c r="I81" s="6">
        <f>IFERROR(INDEX(עזר!$B$2:$B$289,MATCH($A81&amp;"|3",עזר!$D$2:$D$289,0)),"")</f>
        <v>46521</v>
      </c>
    </row>
    <row r="82" spans="1:9">
      <c r="A82" s="2" t="s">
        <v>538</v>
      </c>
      <c r="B82" s="7">
        <f>COUNTIF(עזר!$A$2:$A$289,$A82)</f>
        <v>3</v>
      </c>
      <c r="C82" s="7">
        <f>COUNTIFS(עזר!$A$2:$A$289,$A82,עזר!$E$2:$E$289,"בוקר")</f>
        <v>2</v>
      </c>
      <c r="D82" s="7">
        <f>COUNTIFS(עזר!$A$2:$A$289,$A82,עזר!$E$2:$E$289,"צהריים")</f>
        <v>1</v>
      </c>
      <c r="E82" s="7">
        <f>COUNTIFS(עזר!$A$2:$A$289,$A82,עזר!$F$2:$F$289,"הסעה")</f>
        <v>2</v>
      </c>
      <c r="F82" s="7">
        <f>COUNTIFS(עזר!$A$2:$A$289,$A82,עזר!$F$2:$F$289,"רכב")</f>
        <v>1</v>
      </c>
      <c r="G82" s="6">
        <f>IFERROR(INDEX(עזר!$B$2:$B$289,MATCH($A82&amp;"|1",עזר!$D$2:$D$289,0)),"")</f>
        <v>46283</v>
      </c>
      <c r="H82" s="6">
        <f>IFERROR(INDEX(עזר!$B$2:$B$289,MATCH($A82&amp;"|2",עזר!$D$2:$D$289,0)),"")</f>
        <v>46381</v>
      </c>
      <c r="I82" s="6">
        <f>IFERROR(INDEX(עזר!$B$2:$B$289,MATCH($A82&amp;"|3",עזר!$D$2:$D$289,0)),"")</f>
        <v>46472</v>
      </c>
    </row>
    <row r="83" spans="1:9">
      <c r="A83" s="2" t="s">
        <v>537</v>
      </c>
      <c r="B83" s="7">
        <f>COUNTIF(עזר!$A$2:$A$289,$A83)</f>
        <v>3</v>
      </c>
      <c r="C83" s="7">
        <f>COUNTIFS(עזר!$A$2:$A$289,$A83,עזר!$E$2:$E$289,"בוקר")</f>
        <v>1</v>
      </c>
      <c r="D83" s="7">
        <f>COUNTIFS(עזר!$A$2:$A$289,$A83,עזר!$E$2:$E$289,"צהריים")</f>
        <v>2</v>
      </c>
      <c r="E83" s="7">
        <f>COUNTIFS(עזר!$A$2:$A$289,$A83,עזר!$F$2:$F$289,"הסעה")</f>
        <v>2</v>
      </c>
      <c r="F83" s="7">
        <f>COUNTIFS(עזר!$A$2:$A$289,$A83,עזר!$F$2:$F$289,"רכב")</f>
        <v>1</v>
      </c>
      <c r="G83" s="6">
        <f>IFERROR(INDEX(עזר!$B$2:$B$289,MATCH($A83&amp;"|1",עזר!$D$2:$D$289,0)),"")</f>
        <v>46283</v>
      </c>
      <c r="H83" s="6">
        <f>IFERROR(INDEX(עזר!$B$2:$B$289,MATCH($A83&amp;"|2",עזר!$D$2:$D$289,0)),"")</f>
        <v>46388</v>
      </c>
      <c r="I83" s="6">
        <f>IFERROR(INDEX(עזר!$B$2:$B$289,MATCH($A83&amp;"|3",עזר!$D$2:$D$289,0)),"")</f>
        <v>46514</v>
      </c>
    </row>
    <row r="84" spans="1:9">
      <c r="A84" s="2" t="s">
        <v>617</v>
      </c>
      <c r="B84" s="7">
        <f>COUNTIF(עזר!$A$2:$A$289,$A84)</f>
        <v>2</v>
      </c>
      <c r="C84" s="7">
        <f>COUNTIFS(עזר!$A$2:$A$289,$A84,עזר!$E$2:$E$289,"בוקר")</f>
        <v>1</v>
      </c>
      <c r="D84" s="7">
        <f>COUNTIFS(עזר!$A$2:$A$289,$A84,עזר!$E$2:$E$289,"צהריים")</f>
        <v>1</v>
      </c>
      <c r="E84" s="7">
        <f>COUNTIFS(עזר!$A$2:$A$289,$A84,עזר!$F$2:$F$289,"הסעה")</f>
        <v>2</v>
      </c>
      <c r="F84" s="7">
        <f>COUNTIFS(עזר!$A$2:$A$289,$A84,עזר!$F$2:$F$289,"רכב")</f>
        <v>0</v>
      </c>
      <c r="G84" s="6">
        <f>IFERROR(INDEX(עזר!$B$2:$B$289,MATCH($A84&amp;"|1",עזר!$D$2:$D$289,0)),"")</f>
        <v>46374</v>
      </c>
      <c r="H84" s="6">
        <f>IFERROR(INDEX(עזר!$B$2:$B$289,MATCH($A84&amp;"|2",עזר!$D$2:$D$289,0)),"")</f>
        <v>46458</v>
      </c>
      <c r="I84" s="6" t="str">
        <f>IFERROR(INDEX(עזר!$B$2:$B$289,MATCH($A84&amp;"|3",עזר!$D$2:$D$289,0)),"")</f>
        <v/>
      </c>
    </row>
    <row r="85" spans="1:9">
      <c r="A85" s="2" t="s">
        <v>581</v>
      </c>
      <c r="B85" s="7">
        <f>COUNTIF(עזר!$A$2:$A$289,$A85)</f>
        <v>3</v>
      </c>
      <c r="C85" s="7">
        <f>COUNTIFS(עזר!$A$2:$A$289,$A85,עזר!$E$2:$E$289,"בוקר")</f>
        <v>1</v>
      </c>
      <c r="D85" s="7">
        <f>COUNTIFS(עזר!$A$2:$A$289,$A85,עזר!$E$2:$E$289,"צהריים")</f>
        <v>2</v>
      </c>
      <c r="E85" s="7">
        <f>COUNTIFS(עזר!$A$2:$A$289,$A85,עזר!$F$2:$F$289,"הסעה")</f>
        <v>3</v>
      </c>
      <c r="F85" s="7">
        <f>COUNTIFS(עזר!$A$2:$A$289,$A85,עזר!$F$2:$F$289,"רכב")</f>
        <v>0</v>
      </c>
      <c r="G85" s="6">
        <f>IFERROR(INDEX(עזר!$B$2:$B$289,MATCH($A85&amp;"|1",עזר!$D$2:$D$289,0)),"")</f>
        <v>46332</v>
      </c>
      <c r="H85" s="6">
        <f>IFERROR(INDEX(עזר!$B$2:$B$289,MATCH($A85&amp;"|2",עזר!$D$2:$D$289,0)),"")</f>
        <v>46444</v>
      </c>
      <c r="I85" s="6">
        <f>IFERROR(INDEX(עזר!$B$2:$B$289,MATCH($A85&amp;"|3",עזר!$D$2:$D$289,0)),"")</f>
        <v>46556</v>
      </c>
    </row>
    <row r="86" spans="1:9">
      <c r="A86" s="2" t="s">
        <v>557</v>
      </c>
      <c r="B86" s="7">
        <f>COUNTIF(עזר!$A$2:$A$289,$A86)</f>
        <v>3</v>
      </c>
      <c r="C86" s="7">
        <f>COUNTIFS(עזר!$A$2:$A$289,$A86,עזר!$E$2:$E$289,"בוקר")</f>
        <v>0</v>
      </c>
      <c r="D86" s="7">
        <f>COUNTIFS(עזר!$A$2:$A$289,$A86,עזר!$E$2:$E$289,"צהריים")</f>
        <v>3</v>
      </c>
      <c r="E86" s="7">
        <f>COUNTIFS(עזר!$A$2:$A$289,$A86,עזר!$F$2:$F$289,"הסעה")</f>
        <v>3</v>
      </c>
      <c r="F86" s="7">
        <f>COUNTIFS(עזר!$A$2:$A$289,$A86,עזר!$F$2:$F$289,"רכב")</f>
        <v>0</v>
      </c>
      <c r="G86" s="6">
        <f>IFERROR(INDEX(עזר!$B$2:$B$289,MATCH($A86&amp;"|1",עזר!$D$2:$D$289,0)),"")</f>
        <v>46311</v>
      </c>
      <c r="H86" s="6">
        <f>IFERROR(INDEX(עזר!$B$2:$B$289,MATCH($A86&amp;"|2",עזר!$D$2:$D$289,0)),"")</f>
        <v>46339</v>
      </c>
      <c r="I86" s="6">
        <f>IFERROR(INDEX(עזר!$B$2:$B$289,MATCH($A86&amp;"|3",עזר!$D$2:$D$289,0)),"")</f>
        <v>46430</v>
      </c>
    </row>
    <row r="87" spans="1:9">
      <c r="A87" s="2" t="s">
        <v>576</v>
      </c>
      <c r="B87" s="7">
        <f>COUNTIF(עזר!$A$2:$A$289,$A87)</f>
        <v>3</v>
      </c>
      <c r="C87" s="7">
        <f>COUNTIFS(עזר!$A$2:$A$289,$A87,עזר!$E$2:$E$289,"בוקר")</f>
        <v>1</v>
      </c>
      <c r="D87" s="7">
        <f>COUNTIFS(עזר!$A$2:$A$289,$A87,עזר!$E$2:$E$289,"צהריים")</f>
        <v>2</v>
      </c>
      <c r="E87" s="7">
        <f>COUNTIFS(עזר!$A$2:$A$289,$A87,עזר!$F$2:$F$289,"הסעה")</f>
        <v>2</v>
      </c>
      <c r="F87" s="7">
        <f>COUNTIFS(עזר!$A$2:$A$289,$A87,עזר!$F$2:$F$289,"רכב")</f>
        <v>1</v>
      </c>
      <c r="G87" s="6">
        <f>IFERROR(INDEX(עזר!$B$2:$B$289,MATCH($A87&amp;"|1",עזר!$D$2:$D$289,0)),"")</f>
        <v>46332</v>
      </c>
      <c r="H87" s="6">
        <f>IFERROR(INDEX(עזר!$B$2:$B$289,MATCH($A87&amp;"|2",עזר!$D$2:$D$289,0)),"")</f>
        <v>46381</v>
      </c>
      <c r="I87" s="6">
        <f>IFERROR(INDEX(עזר!$B$2:$B$289,MATCH($A87&amp;"|3",עזר!$D$2:$D$289,0)),"")</f>
        <v>46465</v>
      </c>
    </row>
    <row r="88" spans="1:9">
      <c r="A88" s="2" t="s">
        <v>618</v>
      </c>
      <c r="B88" s="7">
        <f>COUNTIF(עזר!$A$2:$A$289,$A88)</f>
        <v>3</v>
      </c>
      <c r="C88" s="7">
        <f>COUNTIFS(עזר!$A$2:$A$289,$A88,עזר!$E$2:$E$289,"בוקר")</f>
        <v>1</v>
      </c>
      <c r="D88" s="7">
        <f>COUNTIFS(עזר!$A$2:$A$289,$A88,עזר!$E$2:$E$289,"צהריים")</f>
        <v>2</v>
      </c>
      <c r="E88" s="7">
        <f>COUNTIFS(עזר!$A$2:$A$289,$A88,עזר!$F$2:$F$289,"הסעה")</f>
        <v>3</v>
      </c>
      <c r="F88" s="7">
        <f>COUNTIFS(עזר!$A$2:$A$289,$A88,עזר!$F$2:$F$289,"רכב")</f>
        <v>0</v>
      </c>
      <c r="G88" s="6">
        <f>IFERROR(INDEX(עזר!$B$2:$B$289,MATCH($A88&amp;"|1",עזר!$D$2:$D$289,0)),"")</f>
        <v>46374</v>
      </c>
      <c r="H88" s="6">
        <f>IFERROR(INDEX(עזר!$B$2:$B$289,MATCH($A88&amp;"|2",עזר!$D$2:$D$289,0)),"")</f>
        <v>46423</v>
      </c>
      <c r="I88" s="6">
        <f>IFERROR(INDEX(עזר!$B$2:$B$289,MATCH($A88&amp;"|3",עזר!$D$2:$D$289,0)),"")</f>
        <v>46465</v>
      </c>
    </row>
    <row r="89" spans="1:9">
      <c r="A89" s="2" t="s">
        <v>603</v>
      </c>
      <c r="B89" s="7">
        <f>COUNTIF(עזר!$A$2:$A$289,$A89)</f>
        <v>3</v>
      </c>
      <c r="C89" s="7">
        <f>COUNTIFS(עזר!$A$2:$A$289,$A89,עזר!$E$2:$E$289,"בוקר")</f>
        <v>2</v>
      </c>
      <c r="D89" s="7">
        <f>COUNTIFS(עזר!$A$2:$A$289,$A89,עזר!$E$2:$E$289,"צהריים")</f>
        <v>1</v>
      </c>
      <c r="E89" s="7">
        <f>COUNTIFS(עזר!$A$2:$A$289,$A89,עזר!$F$2:$F$289,"הסעה")</f>
        <v>2</v>
      </c>
      <c r="F89" s="7">
        <f>COUNTIFS(עזר!$A$2:$A$289,$A89,עזר!$F$2:$F$289,"רכב")</f>
        <v>1</v>
      </c>
      <c r="G89" s="6">
        <f>IFERROR(INDEX(עזר!$B$2:$B$289,MATCH($A89&amp;"|1",עזר!$D$2:$D$289,0)),"")</f>
        <v>46353</v>
      </c>
      <c r="H89" s="6">
        <f>IFERROR(INDEX(עזר!$B$2:$B$289,MATCH($A89&amp;"|2",עזר!$D$2:$D$289,0)),"")</f>
        <v>46444</v>
      </c>
      <c r="I89" s="6">
        <f>IFERROR(INDEX(עזר!$B$2:$B$289,MATCH($A89&amp;"|3",עזר!$D$2:$D$289,0)),"")</f>
        <v>46556</v>
      </c>
    </row>
    <row r="90" spans="1:9">
      <c r="A90" s="2" t="s">
        <v>544</v>
      </c>
      <c r="B90" s="7">
        <f>COUNTIF(עזר!$A$2:$A$289,$A90)</f>
        <v>3</v>
      </c>
      <c r="C90" s="7">
        <f>COUNTIFS(עזר!$A$2:$A$289,$A90,עזר!$E$2:$E$289,"בוקר")</f>
        <v>1</v>
      </c>
      <c r="D90" s="7">
        <f>COUNTIFS(עזר!$A$2:$A$289,$A90,עזר!$E$2:$E$289,"צהריים")</f>
        <v>2</v>
      </c>
      <c r="E90" s="7">
        <f>COUNTIFS(עזר!$A$2:$A$289,$A90,עזר!$F$2:$F$289,"הסעה")</f>
        <v>2</v>
      </c>
      <c r="F90" s="7">
        <f>COUNTIFS(עזר!$A$2:$A$289,$A90,עזר!$F$2:$F$289,"רכב")</f>
        <v>1</v>
      </c>
      <c r="G90" s="6">
        <f>IFERROR(INDEX(עזר!$B$2:$B$289,MATCH($A90&amp;"|1",עזר!$D$2:$D$289,0)),"")</f>
        <v>46283</v>
      </c>
      <c r="H90" s="6">
        <f>IFERROR(INDEX(עזר!$B$2:$B$289,MATCH($A90&amp;"|2",עזר!$D$2:$D$289,0)),"")</f>
        <v>46395</v>
      </c>
      <c r="I90" s="6">
        <f>IFERROR(INDEX(עזר!$B$2:$B$289,MATCH($A90&amp;"|3",עזר!$D$2:$D$289,0)),"")</f>
        <v>46479</v>
      </c>
    </row>
    <row r="91" spans="1:9">
      <c r="A91" s="2" t="s">
        <v>604</v>
      </c>
      <c r="B91" s="7">
        <f>COUNTIF(עזר!$A$2:$A$289,$A91)</f>
        <v>2</v>
      </c>
      <c r="C91" s="7">
        <f>COUNTIFS(עזר!$A$2:$A$289,$A91,עזר!$E$2:$E$289,"בוקר")</f>
        <v>1</v>
      </c>
      <c r="D91" s="7">
        <f>COUNTIFS(עזר!$A$2:$A$289,$A91,עזר!$E$2:$E$289,"צהריים")</f>
        <v>1</v>
      </c>
      <c r="E91" s="7">
        <f>COUNTIFS(עזר!$A$2:$A$289,$A91,עזר!$F$2:$F$289,"הסעה")</f>
        <v>1</v>
      </c>
      <c r="F91" s="7">
        <f>COUNTIFS(עזר!$A$2:$A$289,$A91,עזר!$F$2:$F$289,"רכב")</f>
        <v>1</v>
      </c>
      <c r="G91" s="6">
        <f>IFERROR(INDEX(עזר!$B$2:$B$289,MATCH($A91&amp;"|1",עזר!$D$2:$D$289,0)),"")</f>
        <v>46353</v>
      </c>
      <c r="H91" s="6">
        <f>IFERROR(INDEX(עזר!$B$2:$B$289,MATCH($A91&amp;"|2",עזר!$D$2:$D$289,0)),"")</f>
        <v>46479</v>
      </c>
      <c r="I91" s="6" t="str">
        <f>IFERROR(INDEX(עזר!$B$2:$B$289,MATCH($A91&amp;"|3",עזר!$D$2:$D$289,0)),"")</f>
        <v/>
      </c>
    </row>
    <row r="92" spans="1:9">
      <c r="A92" s="2" t="s">
        <v>611</v>
      </c>
      <c r="B92" s="7">
        <f>COUNTIF(עזר!$A$2:$A$289,$A92)</f>
        <v>3</v>
      </c>
      <c r="C92" s="7">
        <f>COUNTIFS(עזר!$A$2:$A$289,$A92,עזר!$E$2:$E$289,"בוקר")</f>
        <v>1</v>
      </c>
      <c r="D92" s="7">
        <f>COUNTIFS(עזר!$A$2:$A$289,$A92,עזר!$E$2:$E$289,"צהריים")</f>
        <v>2</v>
      </c>
      <c r="E92" s="7">
        <f>COUNTIFS(עזר!$A$2:$A$289,$A92,עזר!$F$2:$F$289,"הסעה")</f>
        <v>2</v>
      </c>
      <c r="F92" s="7">
        <f>COUNTIFS(עזר!$A$2:$A$289,$A92,עזר!$F$2:$F$289,"רכב")</f>
        <v>1</v>
      </c>
      <c r="G92" s="6">
        <f>IFERROR(INDEX(עזר!$B$2:$B$289,MATCH($A92&amp;"|1",עזר!$D$2:$D$289,0)),"")</f>
        <v>46360</v>
      </c>
      <c r="H92" s="6">
        <f>IFERROR(INDEX(עזר!$B$2:$B$289,MATCH($A92&amp;"|2",עזר!$D$2:$D$289,0)),"")</f>
        <v>46458</v>
      </c>
      <c r="I92" s="6">
        <f>IFERROR(INDEX(עזר!$B$2:$B$289,MATCH($A92&amp;"|3",עזר!$D$2:$D$289,0)),"")</f>
        <v>46563</v>
      </c>
    </row>
    <row r="93" spans="1:9">
      <c r="A93" s="2" t="s">
        <v>591</v>
      </c>
      <c r="B93" s="7">
        <f>COUNTIF(עזר!$A$2:$A$289,$A93)</f>
        <v>3</v>
      </c>
      <c r="C93" s="7">
        <f>COUNTIFS(עזר!$A$2:$A$289,$A93,עזר!$E$2:$E$289,"בוקר")</f>
        <v>2</v>
      </c>
      <c r="D93" s="7">
        <f>COUNTIFS(עזר!$A$2:$A$289,$A93,עזר!$E$2:$E$289,"צהריים")</f>
        <v>1</v>
      </c>
      <c r="E93" s="7">
        <f>COUNTIFS(עזר!$A$2:$A$289,$A93,עזר!$F$2:$F$289,"הסעה")</f>
        <v>3</v>
      </c>
      <c r="F93" s="7">
        <f>COUNTIFS(עזר!$A$2:$A$289,$A93,עזר!$F$2:$F$289,"רכב")</f>
        <v>0</v>
      </c>
      <c r="G93" s="6">
        <f>IFERROR(INDEX(עזר!$B$2:$B$289,MATCH($A93&amp;"|1",עזר!$D$2:$D$289,0)),"")</f>
        <v>46346</v>
      </c>
      <c r="H93" s="6">
        <f>IFERROR(INDEX(עזר!$B$2:$B$289,MATCH($A93&amp;"|2",עזר!$D$2:$D$289,0)),"")</f>
        <v>46430</v>
      </c>
      <c r="I93" s="6">
        <f>IFERROR(INDEX(עזר!$B$2:$B$289,MATCH($A93&amp;"|3",עזר!$D$2:$D$289,0)),"")</f>
        <v>46535</v>
      </c>
    </row>
    <row r="94" spans="1:9">
      <c r="A94" s="2" t="s">
        <v>555</v>
      </c>
      <c r="B94" s="7">
        <f>COUNTIF(עזר!$A$2:$A$289,$A94)</f>
        <v>3</v>
      </c>
      <c r="C94" s="7">
        <f>COUNTIFS(עזר!$A$2:$A$289,$A94,עזר!$E$2:$E$289,"בוקר")</f>
        <v>1</v>
      </c>
      <c r="D94" s="7">
        <f>COUNTIFS(עזר!$A$2:$A$289,$A94,עזר!$E$2:$E$289,"צהריים")</f>
        <v>2</v>
      </c>
      <c r="E94" s="7">
        <f>COUNTIFS(עזר!$A$2:$A$289,$A94,עזר!$F$2:$F$289,"הסעה")</f>
        <v>2</v>
      </c>
      <c r="F94" s="7">
        <f>COUNTIFS(עזר!$A$2:$A$289,$A94,עזר!$F$2:$F$289,"רכב")</f>
        <v>1</v>
      </c>
      <c r="G94" s="6">
        <f>IFERROR(INDEX(עזר!$B$2:$B$289,MATCH($A94&amp;"|1",עזר!$D$2:$D$289,0)),"")</f>
        <v>46311</v>
      </c>
      <c r="H94" s="6">
        <f>IFERROR(INDEX(עזר!$B$2:$B$289,MATCH($A94&amp;"|2",עזר!$D$2:$D$289,0)),"")</f>
        <v>46402</v>
      </c>
      <c r="I94" s="6">
        <f>IFERROR(INDEX(עזר!$B$2:$B$289,MATCH($A94&amp;"|3",עזר!$D$2:$D$289,0)),"")</f>
        <v>46521</v>
      </c>
    </row>
    <row r="95" spans="1:9">
      <c r="A95" s="2" t="s">
        <v>623</v>
      </c>
      <c r="B95" s="7">
        <f>COUNTIF(עזר!$A$2:$A$289,$A95)</f>
        <v>3</v>
      </c>
      <c r="C95" s="7">
        <f>COUNTIFS(עזר!$A$2:$A$289,$A95,עזר!$E$2:$E$289,"בוקר")</f>
        <v>1</v>
      </c>
      <c r="D95" s="7">
        <f>COUNTIFS(עזר!$A$2:$A$289,$A95,עזר!$E$2:$E$289,"צהריים")</f>
        <v>2</v>
      </c>
      <c r="E95" s="7">
        <f>COUNTIFS(עזר!$A$2:$A$289,$A95,עזר!$F$2:$F$289,"הסעה")</f>
        <v>2</v>
      </c>
      <c r="F95" s="7">
        <f>COUNTIFS(עזר!$A$2:$A$289,$A95,עזר!$F$2:$F$289,"רכב")</f>
        <v>1</v>
      </c>
      <c r="G95" s="6">
        <f>IFERROR(INDEX(עזר!$B$2:$B$289,MATCH($A95&amp;"|1",עזר!$D$2:$D$289,0)),"")</f>
        <v>46388</v>
      </c>
      <c r="H95" s="6">
        <f>IFERROR(INDEX(עזר!$B$2:$B$289,MATCH($A95&amp;"|2",עזר!$D$2:$D$289,0)),"")</f>
        <v>46458</v>
      </c>
      <c r="I95" s="6">
        <f>IFERROR(INDEX(עזר!$B$2:$B$289,MATCH($A95&amp;"|3",עזר!$D$2:$D$289,0)),"")</f>
        <v>46507</v>
      </c>
    </row>
    <row r="96" spans="1:9">
      <c r="A96" s="2" t="s">
        <v>563</v>
      </c>
      <c r="B96" s="7">
        <f>COUNTIF(עזר!$A$2:$A$289,$A96)</f>
        <v>3</v>
      </c>
      <c r="C96" s="7">
        <f>COUNTIFS(עזר!$A$2:$A$289,$A96,עזר!$E$2:$E$289,"בוקר")</f>
        <v>2</v>
      </c>
      <c r="D96" s="7">
        <f>COUNTIFS(עזר!$A$2:$A$289,$A96,עזר!$E$2:$E$289,"צהריים")</f>
        <v>1</v>
      </c>
      <c r="E96" s="7">
        <f>COUNTIFS(עזר!$A$2:$A$289,$A96,עזר!$F$2:$F$289,"הסעה")</f>
        <v>2</v>
      </c>
      <c r="F96" s="7">
        <f>COUNTIFS(עזר!$A$2:$A$289,$A96,עזר!$F$2:$F$289,"רכב")</f>
        <v>1</v>
      </c>
      <c r="G96" s="6">
        <f>IFERROR(INDEX(עזר!$B$2:$B$289,MATCH($A96&amp;"|1",עזר!$D$2:$D$289,0)),"")</f>
        <v>46318</v>
      </c>
      <c r="H96" s="6">
        <f>IFERROR(INDEX(עזר!$B$2:$B$289,MATCH($A96&amp;"|2",עזר!$D$2:$D$289,0)),"")</f>
        <v>46416</v>
      </c>
      <c r="I96" s="6">
        <f>IFERROR(INDEX(עזר!$B$2:$B$289,MATCH($A96&amp;"|3",עזר!$D$2:$D$289,0)),"")</f>
        <v>46472</v>
      </c>
    </row>
    <row r="97" spans="1:9">
      <c r="A97" s="2" t="s">
        <v>533</v>
      </c>
      <c r="B97" s="7">
        <f>COUNTIF(עזר!$A$2:$A$289,$A97)</f>
        <v>3</v>
      </c>
      <c r="C97" s="7">
        <f>COUNTIFS(עזר!$A$2:$A$289,$A97,עזר!$E$2:$E$289,"בוקר")</f>
        <v>2</v>
      </c>
      <c r="D97" s="7">
        <f>COUNTIFS(עזר!$A$2:$A$289,$A97,עזר!$E$2:$E$289,"צהריים")</f>
        <v>1</v>
      </c>
      <c r="E97" s="7">
        <f>COUNTIFS(עזר!$A$2:$A$289,$A97,עזר!$F$2:$F$289,"הסעה")</f>
        <v>2</v>
      </c>
      <c r="F97" s="7">
        <f>COUNTIFS(עזר!$A$2:$A$289,$A97,עזר!$F$2:$F$289,"רכב")</f>
        <v>1</v>
      </c>
      <c r="G97" s="6">
        <f>IFERROR(INDEX(עזר!$B$2:$B$289,MATCH($A97&amp;"|1",עזר!$D$2:$D$289,0)),"")</f>
        <v>46269</v>
      </c>
      <c r="H97" s="6">
        <f>IFERROR(INDEX(עזר!$B$2:$B$289,MATCH($A97&amp;"|2",עזר!$D$2:$D$289,0)),"")</f>
        <v>46381</v>
      </c>
      <c r="I97" s="6">
        <f>IFERROR(INDEX(עזר!$B$2:$B$289,MATCH($A97&amp;"|3",עזר!$D$2:$D$289,0)),"")</f>
        <v>46514</v>
      </c>
    </row>
    <row r="98" spans="1:9">
      <c r="A98" s="2" t="s">
        <v>609</v>
      </c>
      <c r="B98" s="7">
        <f>COUNTIF(עזר!$A$2:$A$289,$A98)</f>
        <v>2</v>
      </c>
      <c r="C98" s="7">
        <f>COUNTIFS(עזר!$A$2:$A$289,$A98,עזר!$E$2:$E$289,"בוקר")</f>
        <v>1</v>
      </c>
      <c r="D98" s="7">
        <f>COUNTIFS(עזר!$A$2:$A$289,$A98,עזר!$E$2:$E$289,"צהריים")</f>
        <v>1</v>
      </c>
      <c r="E98" s="7">
        <f>COUNTIFS(עזר!$A$2:$A$289,$A98,עזר!$F$2:$F$289,"הסעה")</f>
        <v>2</v>
      </c>
      <c r="F98" s="7">
        <f>COUNTIFS(עזר!$A$2:$A$289,$A98,עזר!$F$2:$F$289,"רכב")</f>
        <v>0</v>
      </c>
      <c r="G98" s="6">
        <f>IFERROR(INDEX(עזר!$B$2:$B$289,MATCH($A98&amp;"|1",עזר!$D$2:$D$289,0)),"")</f>
        <v>46360</v>
      </c>
      <c r="H98" s="6">
        <f>IFERROR(INDEX(עזר!$B$2:$B$289,MATCH($A98&amp;"|2",עזר!$D$2:$D$289,0)),"")</f>
        <v>46451</v>
      </c>
      <c r="I98" s="6" t="str">
        <f>IFERROR(INDEX(עזר!$B$2:$B$289,MATCH($A98&amp;"|3",עזר!$D$2:$D$289,0)),"")</f>
        <v/>
      </c>
    </row>
    <row r="99" spans="1:9">
      <c r="A99" s="2" t="s">
        <v>588</v>
      </c>
      <c r="B99" s="7">
        <f>COUNTIF(עזר!$A$2:$A$289,$A99)</f>
        <v>3</v>
      </c>
      <c r="C99" s="7">
        <f>COUNTIFS(עזר!$A$2:$A$289,$A99,עזר!$E$2:$E$289,"בוקר")</f>
        <v>2</v>
      </c>
      <c r="D99" s="7">
        <f>COUNTIFS(עזר!$A$2:$A$289,$A99,עזר!$E$2:$E$289,"צהריים")</f>
        <v>1</v>
      </c>
      <c r="E99" s="7">
        <f>COUNTIFS(עזר!$A$2:$A$289,$A99,עזר!$F$2:$F$289,"הסעה")</f>
        <v>2</v>
      </c>
      <c r="F99" s="7">
        <f>COUNTIFS(עזר!$A$2:$A$289,$A99,עזר!$F$2:$F$289,"רכב")</f>
        <v>1</v>
      </c>
      <c r="G99" s="6">
        <f>IFERROR(INDEX(עזר!$B$2:$B$289,MATCH($A99&amp;"|1",עזר!$D$2:$D$289,0)),"")</f>
        <v>46339</v>
      </c>
      <c r="H99" s="6">
        <f>IFERROR(INDEX(עזר!$B$2:$B$289,MATCH($A99&amp;"|2",עזר!$D$2:$D$289,0)),"")</f>
        <v>46437</v>
      </c>
      <c r="I99" s="6">
        <f>IFERROR(INDEX(עזר!$B$2:$B$289,MATCH($A99&amp;"|3",עזר!$D$2:$D$289,0)),"")</f>
        <v>46556</v>
      </c>
    </row>
    <row r="100" spans="1:9">
      <c r="A100" s="2" t="s">
        <v>548</v>
      </c>
      <c r="B100" s="7">
        <f>COUNTIF(עזר!$A$2:$A$289,$A100)</f>
        <v>3</v>
      </c>
      <c r="C100" s="7">
        <f>COUNTIFS(עזר!$A$2:$A$289,$A100,עזר!$E$2:$E$289,"בוקר")</f>
        <v>2</v>
      </c>
      <c r="D100" s="7">
        <f>COUNTIFS(עזר!$A$2:$A$289,$A100,עזר!$E$2:$E$289,"צהריים")</f>
        <v>1</v>
      </c>
      <c r="E100" s="7">
        <f>COUNTIFS(עזר!$A$2:$A$289,$A100,עזר!$F$2:$F$289,"הסעה")</f>
        <v>2</v>
      </c>
      <c r="F100" s="7">
        <f>COUNTIFS(עזר!$A$2:$A$289,$A100,עזר!$F$2:$F$289,"רכב")</f>
        <v>1</v>
      </c>
      <c r="G100" s="6">
        <f>IFERROR(INDEX(עזר!$B$2:$B$289,MATCH($A100&amp;"|1",עזר!$D$2:$D$289,0)),"")</f>
        <v>46304</v>
      </c>
      <c r="H100" s="6">
        <f>IFERROR(INDEX(עזר!$B$2:$B$289,MATCH($A100&amp;"|2",עזר!$D$2:$D$289,0)),"")</f>
        <v>46395</v>
      </c>
      <c r="I100" s="6">
        <f>IFERROR(INDEX(עזר!$B$2:$B$289,MATCH($A100&amp;"|3",עזר!$D$2:$D$289,0)),"")</f>
        <v>46514</v>
      </c>
    </row>
    <row r="101" spans="1:9">
      <c r="A101" s="2" t="s">
        <v>579</v>
      </c>
      <c r="B101" s="7">
        <f>COUNTIF(עזר!$A$2:$A$289,$A101)</f>
        <v>3</v>
      </c>
      <c r="C101" s="7">
        <f>COUNTIFS(עזר!$A$2:$A$289,$A101,עזר!$E$2:$E$289,"בוקר")</f>
        <v>2</v>
      </c>
      <c r="D101" s="7">
        <f>COUNTIFS(עזר!$A$2:$A$289,$A101,עזר!$E$2:$E$289,"צהריים")</f>
        <v>1</v>
      </c>
      <c r="E101" s="7">
        <f>COUNTIFS(עזר!$A$2:$A$289,$A101,עזר!$F$2:$F$289,"הסעה")</f>
        <v>1</v>
      </c>
      <c r="F101" s="7">
        <f>COUNTIFS(עזר!$A$2:$A$289,$A101,עזר!$F$2:$F$289,"רכב")</f>
        <v>2</v>
      </c>
      <c r="G101" s="6">
        <f>IFERROR(INDEX(עזר!$B$2:$B$289,MATCH($A101&amp;"|1",עזר!$D$2:$D$289,0)),"")</f>
        <v>46332</v>
      </c>
      <c r="H101" s="6">
        <f>IFERROR(INDEX(עזר!$B$2:$B$289,MATCH($A101&amp;"|2",עזר!$D$2:$D$289,0)),"")</f>
        <v>46374</v>
      </c>
      <c r="I101" s="6">
        <f>IFERROR(INDEX(עזר!$B$2:$B$289,MATCH($A101&amp;"|3",עזר!$D$2:$D$289,0)),"")</f>
        <v>46465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רשימת ילדים והורים</vt:lpstr>
      <vt:lpstr>לוח הסעות מוצע</vt:lpstr>
      <vt:lpstr>עזר</vt:lpstr>
      <vt:lpstr>ספירת הסעות למשפחה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אוהד רבינס</cp:lastModifiedBy>
  <cp:revision>0</cp:revision>
  <dcterms:created xsi:type="dcterms:W3CDTF">2026-09-04T14:02:30Z</dcterms:created>
  <dcterms:modified xsi:type="dcterms:W3CDTF">2026-09-28T12:43:33Z</dcterms:modified>
  <dc:language>en-US</dc:language>
</cp:coreProperties>
</file>